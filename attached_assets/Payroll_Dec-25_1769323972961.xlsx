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ishi Seeds\Downloads\"/>
    </mc:Choice>
  </mc:AlternateContent>
  <xr:revisionPtr revIDLastSave="0" documentId="13_ncr:1_{2A1F65B1-9C53-4922-88C0-9E50795F35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3" i="1" l="1"/>
  <c r="I43" i="1"/>
  <c r="I50" i="1" s="1"/>
  <c r="I15" i="1"/>
  <c r="H50" i="1"/>
  <c r="K48" i="1"/>
  <c r="J48" i="1"/>
  <c r="L48" i="1" s="1"/>
  <c r="K47" i="1"/>
  <c r="J47" i="1"/>
  <c r="T46" i="1"/>
  <c r="K46" i="1"/>
  <c r="J46" i="1"/>
  <c r="L46" i="1" s="1"/>
  <c r="K45" i="1"/>
  <c r="J45" i="1"/>
  <c r="K44" i="1"/>
  <c r="J44" i="1"/>
  <c r="K43" i="1"/>
  <c r="L43" i="1" s="1"/>
  <c r="K42" i="1"/>
  <c r="J42" i="1"/>
  <c r="K41" i="1"/>
  <c r="J41" i="1"/>
  <c r="K40" i="1"/>
  <c r="J40" i="1"/>
  <c r="K39" i="1"/>
  <c r="J39" i="1"/>
  <c r="K38" i="1"/>
  <c r="J38" i="1"/>
  <c r="K37" i="1"/>
  <c r="J37" i="1"/>
  <c r="S21" i="1"/>
  <c r="H21" i="1"/>
  <c r="O20" i="1"/>
  <c r="N20" i="1"/>
  <c r="K20" i="1"/>
  <c r="J20" i="1"/>
  <c r="R20" i="1" s="1"/>
  <c r="I20" i="1"/>
  <c r="N19" i="1"/>
  <c r="K19" i="1"/>
  <c r="J19" i="1"/>
  <c r="Q19" i="1" s="1"/>
  <c r="I19" i="1"/>
  <c r="O19" i="1" s="1"/>
  <c r="K18" i="1"/>
  <c r="J18" i="1"/>
  <c r="Q18" i="1" s="1"/>
  <c r="I18" i="1"/>
  <c r="O18" i="1" s="1"/>
  <c r="K17" i="1"/>
  <c r="J17" i="1"/>
  <c r="Q17" i="1" s="1"/>
  <c r="I17" i="1"/>
  <c r="O17" i="1" s="1"/>
  <c r="O16" i="1"/>
  <c r="N16" i="1"/>
  <c r="K16" i="1"/>
  <c r="J16" i="1"/>
  <c r="Q16" i="1" s="1"/>
  <c r="I16" i="1"/>
  <c r="O15" i="1"/>
  <c r="N15" i="1"/>
  <c r="M15" i="1"/>
  <c r="K15" i="1"/>
  <c r="J15" i="1"/>
  <c r="Q15" i="1" s="1"/>
  <c r="O14" i="1"/>
  <c r="N14" i="1"/>
  <c r="K14" i="1"/>
  <c r="J14" i="1"/>
  <c r="I14" i="1"/>
  <c r="O13" i="1"/>
  <c r="N13" i="1"/>
  <c r="K13" i="1"/>
  <c r="J13" i="1"/>
  <c r="P13" i="1" s="1"/>
  <c r="I13" i="1"/>
  <c r="M13" i="1" s="1"/>
  <c r="Q12" i="1"/>
  <c r="M12" i="1"/>
  <c r="K12" i="1"/>
  <c r="J12" i="1"/>
  <c r="R12" i="1" s="1"/>
  <c r="M11" i="1"/>
  <c r="K11" i="1"/>
  <c r="J11" i="1"/>
  <c r="Q11" i="1" s="1"/>
  <c r="O10" i="1"/>
  <c r="N10" i="1"/>
  <c r="K10" i="1"/>
  <c r="J10" i="1"/>
  <c r="R10" i="1" s="1"/>
  <c r="I10" i="1"/>
  <c r="O9" i="1"/>
  <c r="N9" i="1"/>
  <c r="K9" i="1"/>
  <c r="J9" i="1"/>
  <c r="Q9" i="1" s="1"/>
  <c r="I9" i="1"/>
  <c r="M9" i="1" s="1"/>
  <c r="O8" i="1"/>
  <c r="N8" i="1"/>
  <c r="K8" i="1"/>
  <c r="J8" i="1"/>
  <c r="P8" i="1" s="1"/>
  <c r="I8" i="1"/>
  <c r="M8" i="1" s="1"/>
  <c r="P7" i="1"/>
  <c r="O7" i="1"/>
  <c r="N7" i="1"/>
  <c r="K7" i="1"/>
  <c r="J7" i="1"/>
  <c r="R7" i="1" s="1"/>
  <c r="I7" i="1"/>
  <c r="R6" i="1"/>
  <c r="O6" i="1"/>
  <c r="N6" i="1"/>
  <c r="K6" i="1"/>
  <c r="J6" i="1"/>
  <c r="Q6" i="1" s="1"/>
  <c r="I6" i="1"/>
  <c r="M6" i="1" s="1"/>
  <c r="P17" i="1" l="1"/>
  <c r="L41" i="1"/>
  <c r="L40" i="1"/>
  <c r="Q13" i="1"/>
  <c r="L13" i="1"/>
  <c r="P16" i="1"/>
  <c r="R16" i="1"/>
  <c r="P15" i="1"/>
  <c r="P6" i="1"/>
  <c r="T6" i="1" s="1"/>
  <c r="P12" i="1"/>
  <c r="R13" i="1"/>
  <c r="J50" i="1"/>
  <c r="K50" i="1"/>
  <c r="K21" i="1"/>
  <c r="T14" i="1"/>
  <c r="L38" i="1"/>
  <c r="T38" i="1" s="1"/>
  <c r="P20" i="1"/>
  <c r="R9" i="1"/>
  <c r="M14" i="1"/>
  <c r="M18" i="1"/>
  <c r="R15" i="1"/>
  <c r="N18" i="1"/>
  <c r="P19" i="1"/>
  <c r="Q20" i="1"/>
  <c r="P18" i="1"/>
  <c r="R19" i="1"/>
  <c r="R18" i="1"/>
  <c r="I21" i="1"/>
  <c r="T7" i="1"/>
  <c r="T42" i="1"/>
  <c r="O21" i="1"/>
  <c r="T12" i="1"/>
  <c r="T13" i="1"/>
  <c r="L37" i="1"/>
  <c r="Q7" i="1"/>
  <c r="R17" i="1"/>
  <c r="L42" i="1"/>
  <c r="L45" i="1"/>
  <c r="T45" i="1" s="1"/>
  <c r="P9" i="1"/>
  <c r="T9" i="1" s="1"/>
  <c r="Q10" i="1"/>
  <c r="M17" i="1"/>
  <c r="M20" i="1"/>
  <c r="T20" i="1" s="1"/>
  <c r="L39" i="1"/>
  <c r="T39" i="1" s="1"/>
  <c r="Q8" i="1"/>
  <c r="T8" i="1" s="1"/>
  <c r="R11" i="1"/>
  <c r="P10" i="1"/>
  <c r="T40" i="1"/>
  <c r="M7" i="1"/>
  <c r="L10" i="1"/>
  <c r="P11" i="1"/>
  <c r="L12" i="1"/>
  <c r="N17" i="1"/>
  <c r="L44" i="1"/>
  <c r="T44" i="1" s="1"/>
  <c r="L47" i="1"/>
  <c r="T47" i="1" s="1"/>
  <c r="O50" i="1"/>
  <c r="J21" i="1"/>
  <c r="R8" i="1"/>
  <c r="L11" i="1"/>
  <c r="M10" i="1"/>
  <c r="M16" i="1"/>
  <c r="M19" i="1"/>
  <c r="T19" i="1" l="1"/>
  <c r="T16" i="1"/>
  <c r="T18" i="1"/>
  <c r="T10" i="1"/>
  <c r="T15" i="1"/>
  <c r="N21" i="1"/>
  <c r="T11" i="1"/>
  <c r="N50" i="1"/>
  <c r="R21" i="1"/>
  <c r="L21" i="1"/>
  <c r="Q50" i="1"/>
  <c r="P21" i="1"/>
  <c r="M50" i="1"/>
  <c r="T17" i="1"/>
  <c r="Q21" i="1"/>
  <c r="R50" i="1"/>
  <c r="P50" i="1"/>
  <c r="M21" i="1"/>
  <c r="L50" i="1"/>
  <c r="T37" i="1"/>
  <c r="T50" i="1" s="1"/>
  <c r="T21" i="1" l="1"/>
</calcChain>
</file>

<file path=xl/sharedStrings.xml><?xml version="1.0" encoding="utf-8"?>
<sst xmlns="http://schemas.openxmlformats.org/spreadsheetml/2006/main" count="136" uniqueCount="88">
  <si>
    <t>RISHI HYBRID SEEDS PVT LTD</t>
  </si>
  <si>
    <t>Sy no. 713,Plot no. 38 Part-Devarayamjal Village,Shameerpet Medchal-Malkajgiri Dist,Secunderabad,Telangana-500078</t>
  </si>
  <si>
    <t>December-2025 Month Saleres</t>
  </si>
  <si>
    <t>PF Employer Share</t>
  </si>
  <si>
    <t>PF NUMBER</t>
  </si>
  <si>
    <t>Name</t>
  </si>
  <si>
    <t>State</t>
  </si>
  <si>
    <t>Designation</t>
  </si>
  <si>
    <t>No.of Days</t>
  </si>
  <si>
    <t>Working days</t>
  </si>
  <si>
    <t>LOP</t>
  </si>
  <si>
    <t>Gross Salary</t>
  </si>
  <si>
    <t>Earned Salary</t>
  </si>
  <si>
    <t>Basic + DA</t>
  </si>
  <si>
    <t>HRA</t>
  </si>
  <si>
    <t>Other Allowances</t>
  </si>
  <si>
    <t>Professional Tax</t>
  </si>
  <si>
    <t>Esi Employee</t>
  </si>
  <si>
    <t>Esi Employer</t>
  </si>
  <si>
    <t xml:space="preserve">PF Employee Share 
</t>
  </si>
  <si>
    <t>EPF Employer Share
A/c no:1</t>
  </si>
  <si>
    <t>EPS
A/c no:10</t>
  </si>
  <si>
    <t>TDS</t>
  </si>
  <si>
    <t xml:space="preserve">paid </t>
  </si>
  <si>
    <t>TS</t>
  </si>
  <si>
    <t>Mr. KATTA GOPI</t>
  </si>
  <si>
    <t>Plant Accounts</t>
  </si>
  <si>
    <t>Mr. SIRIPOTHULA NARESH</t>
  </si>
  <si>
    <t>Plant Quality executive</t>
  </si>
  <si>
    <t>Mr. BODDU SANDEEP</t>
  </si>
  <si>
    <t>Plant SR.Production</t>
  </si>
  <si>
    <t>Mr. SIKKE PURUSHOTHAM</t>
  </si>
  <si>
    <t>Plant SEM</t>
  </si>
  <si>
    <t>Mr.TEKULAPALLY ANIL REDDY</t>
  </si>
  <si>
    <t>Ts</t>
  </si>
  <si>
    <t>Plant Sales Officer</t>
  </si>
  <si>
    <t>Chinthala Praveen</t>
  </si>
  <si>
    <t>Plant PROCESSING &amp; PACKING INCHARGE</t>
  </si>
  <si>
    <t>Ravelli Devender</t>
  </si>
  <si>
    <t>PLANT OPERATOR</t>
  </si>
  <si>
    <t xml:space="preserve"> MAHENDRA KUMAR BAGHEL</t>
  </si>
  <si>
    <t>Plant TSM</t>
  </si>
  <si>
    <t>Mr. RAJ KUMAR SINGH</t>
  </si>
  <si>
    <t>MP</t>
  </si>
  <si>
    <t>Plant RM</t>
  </si>
  <si>
    <t>Mr. AMIT SINGH BAGHEL</t>
  </si>
  <si>
    <t>Plant ASM</t>
  </si>
  <si>
    <t>Mr. DINESH KUMAR THAKUR</t>
  </si>
  <si>
    <t>cg</t>
  </si>
  <si>
    <t>Plant Sales</t>
  </si>
  <si>
    <t>Mr. DHARMENDRA KUMAR</t>
  </si>
  <si>
    <t>UP</t>
  </si>
  <si>
    <t>Mr. RAHUL KUMAR</t>
  </si>
  <si>
    <t>Mr. BABALOO KUMAR</t>
  </si>
  <si>
    <t>Up</t>
  </si>
  <si>
    <t>Plant So</t>
  </si>
  <si>
    <t>SHAILENDER SING-EMP UP</t>
  </si>
  <si>
    <t>Total</t>
  </si>
  <si>
    <t>Hyderabad</t>
  </si>
  <si>
    <t>For RISHI HYBRID SEEDS PVT. LTD.</t>
  </si>
  <si>
    <t>Date:</t>
  </si>
  <si>
    <t>Prepaird By:</t>
  </si>
  <si>
    <t>Approved By</t>
  </si>
  <si>
    <t>Authorised Signatory</t>
  </si>
  <si>
    <t>VISWANATHA REDDY S-EMP</t>
  </si>
  <si>
    <t>Auditer</t>
  </si>
  <si>
    <t>Divya</t>
  </si>
  <si>
    <t>PO(research associate)</t>
  </si>
  <si>
    <t>Swathi-18-07-2024</t>
  </si>
  <si>
    <t>K RAJKUMAR KARIMNAGAR</t>
  </si>
  <si>
    <t>F/A</t>
  </si>
  <si>
    <t>Mahesh</t>
  </si>
  <si>
    <t>BIRENDRA KUMAR CG EMP</t>
  </si>
  <si>
    <t>CG</t>
  </si>
  <si>
    <t>SO</t>
  </si>
  <si>
    <t>Vikas Mishra-Emp-MP</t>
  </si>
  <si>
    <t>Sales</t>
  </si>
  <si>
    <t>Sunil</t>
  </si>
  <si>
    <t>Mp Abhishek</t>
  </si>
  <si>
    <t>F/a</t>
  </si>
  <si>
    <t>Anil Sharma</t>
  </si>
  <si>
    <t>Guna Shekar</t>
  </si>
  <si>
    <t>Rs</t>
  </si>
  <si>
    <t>Driver</t>
  </si>
  <si>
    <t>Gajje Narsimha</t>
  </si>
  <si>
    <t>Kavuri Dinesh Babu</t>
  </si>
  <si>
    <t>Production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</si>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</sst>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0"/>
      <name val="Calibri"/>
      <family val="2"/>
      <scheme val="minor"/>
    </font>
    <font>
      <sz val="14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1" xfId="0" applyBorder="1"/>
    <xf numFmtId="17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 vertical="center" indent="15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14" fontId="9" fillId="0" borderId="0" xfId="0" applyNumberFormat="1" applyFont="1"/>
    <xf numFmtId="0" fontId="9" fillId="0" borderId="0" xfId="0" applyFont="1"/>
    <xf numFmtId="1" fontId="6" fillId="0" borderId="1" xfId="0" applyNumberFormat="1" applyFont="1" applyBorder="1"/>
    <xf numFmtId="164" fontId="6" fillId="0" borderId="1" xfId="1" applyNumberFormat="1" applyFont="1" applyBorder="1"/>
    <xf numFmtId="1" fontId="6" fillId="2" borderId="1" xfId="0" applyNumberFormat="1" applyFont="1" applyFill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43" fontId="6" fillId="0" borderId="1" xfId="1" applyFont="1" applyBorder="1"/>
    <xf numFmtId="1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164" fontId="6" fillId="0" borderId="1" xfId="1" applyNumberFormat="1" applyFont="1" applyBorder="1" applyAlignment="1">
      <alignment vertical="center"/>
    </xf>
    <xf numFmtId="1" fontId="6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/>
    </xf>
    <xf numFmtId="0" fontId="5" fillId="0" borderId="0" xfId="0" applyFont="1"/>
    <xf numFmtId="1" fontId="6" fillId="0" borderId="0" xfId="0" applyNumberFormat="1" applyFont="1" applyAlignment="1">
      <alignment horizontal="center"/>
    </xf>
    <xf numFmtId="0" fontId="10" fillId="0" borderId="0" xfId="0" applyFont="1" applyAlignment="1">
      <alignment horizontal="left" vertical="center" indent="15"/>
    </xf>
    <xf numFmtId="0" fontId="11" fillId="0" borderId="0" xfId="0" applyFont="1" applyAlignment="1">
      <alignment horizontal="left" vertical="center" indent="15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/>
    <xf numFmtId="43" fontId="8" fillId="2" borderId="1" xfId="1" applyFont="1" applyFill="1" applyBorder="1"/>
    <xf numFmtId="1" fontId="5" fillId="0" borderId="1" xfId="0" applyNumberFormat="1" applyFont="1" applyBorder="1"/>
    <xf numFmtId="43" fontId="5" fillId="0" borderId="1" xfId="1" applyFont="1" applyBorder="1"/>
    <xf numFmtId="43" fontId="5" fillId="0" borderId="2" xfId="1" applyFont="1" applyFill="1" applyBorder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"/>
  <sheetViews>
    <sheetView tabSelected="1" zoomScaleNormal="100" workbookViewId="0">
      <selection activeCell="A6" sqref="A6:XFD7"/>
    </sheetView>
  </sheetViews>
  <sheetFormatPr defaultRowHeight="14.4" x14ac:dyDescent="0.3"/>
  <cols>
    <col min="1" max="1" width="13.88671875" bestFit="1" customWidth="1"/>
    <col min="2" max="2" width="24.5546875" customWidth="1"/>
    <col min="3" max="3" width="6.6640625" style="22" customWidth="1"/>
    <col min="4" max="4" width="18.109375" style="21" customWidth="1"/>
    <col min="5" max="5" width="5.44140625" customWidth="1"/>
    <col min="6" max="6" width="7" customWidth="1"/>
    <col min="7" max="7" width="4" bestFit="1" customWidth="1"/>
    <col min="8" max="8" width="8.109375" customWidth="1"/>
    <col min="9" max="9" width="6.88671875" customWidth="1"/>
    <col min="10" max="10" width="7.109375" customWidth="1"/>
    <col min="11" max="11" width="8.109375" customWidth="1"/>
    <col min="12" max="12" width="9.6640625" customWidth="1"/>
    <col min="13" max="13" width="7.88671875" customWidth="1"/>
    <col min="14" max="14" width="7.33203125" customWidth="1"/>
    <col min="15" max="15" width="6" customWidth="1"/>
    <col min="16" max="16" width="7.109375" customWidth="1"/>
    <col min="17" max="17" width="9.6640625" customWidth="1"/>
    <col min="18" max="18" width="7.109375" customWidth="1"/>
    <col min="19" max="19" width="4.88671875" customWidth="1"/>
    <col min="20" max="20" width="7.88671875" style="22" bestFit="1" customWidth="1"/>
    <col min="21" max="21" width="9.109375" hidden="1" customWidth="1"/>
    <col min="22" max="23" width="9.109375" customWidth="1"/>
    <col min="24" max="24" width="9.33203125" customWidth="1"/>
  </cols>
  <sheetData>
    <row r="1" spans="1:20" ht="23.4" x14ac:dyDescent="0.45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</row>
    <row r="2" spans="1:20" ht="15.6" x14ac:dyDescent="0.3">
      <c r="A2" s="56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</row>
    <row r="3" spans="1:20" x14ac:dyDescent="0.3">
      <c r="A3" s="57" t="s">
        <v>2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</row>
    <row r="4" spans="1:20" x14ac:dyDescent="0.3">
      <c r="A4" s="1"/>
      <c r="B4" s="2"/>
      <c r="C4" s="3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58" t="s">
        <v>3</v>
      </c>
      <c r="R4" s="58"/>
      <c r="S4" s="5"/>
      <c r="T4" s="3"/>
    </row>
    <row r="5" spans="1:20" s="9" customFormat="1" ht="72" x14ac:dyDescent="0.3">
      <c r="A5" s="6" t="s">
        <v>4</v>
      </c>
      <c r="B5" s="6" t="s">
        <v>5</v>
      </c>
      <c r="C5" s="7" t="s">
        <v>6</v>
      </c>
      <c r="D5" s="7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6" t="s">
        <v>18</v>
      </c>
      <c r="P5" s="6" t="s">
        <v>19</v>
      </c>
      <c r="Q5" s="6" t="s">
        <v>20</v>
      </c>
      <c r="R5" s="6" t="s">
        <v>21</v>
      </c>
      <c r="S5" s="6" t="s">
        <v>22</v>
      </c>
      <c r="T5" s="8" t="s">
        <v>23</v>
      </c>
    </row>
    <row r="6" spans="1:20" s="18" customFormat="1" ht="13.8" x14ac:dyDescent="0.3">
      <c r="A6" s="31">
        <v>101209347381</v>
      </c>
      <c r="B6" s="10" t="s">
        <v>25</v>
      </c>
      <c r="C6" s="11" t="s">
        <v>24</v>
      </c>
      <c r="D6" s="12" t="s">
        <v>26</v>
      </c>
      <c r="E6" s="10">
        <v>31</v>
      </c>
      <c r="F6" s="10">
        <v>31</v>
      </c>
      <c r="G6" s="10">
        <v>0</v>
      </c>
      <c r="H6" s="10">
        <v>27500</v>
      </c>
      <c r="I6" s="10">
        <f t="shared" ref="I6:I20" si="0">H6/E6*(F6-G6)</f>
        <v>27500</v>
      </c>
      <c r="J6" s="10">
        <f t="shared" ref="J6:J20" si="1">H6*40%</f>
        <v>11000</v>
      </c>
      <c r="K6" s="10">
        <f t="shared" ref="K6:K20" si="2">H6*35%</f>
        <v>9625</v>
      </c>
      <c r="L6" s="10">
        <v>2130</v>
      </c>
      <c r="M6" s="10">
        <f t="shared" ref="M6:M19" si="3">IF(I6&lt;=15000,0,(IF(AND(I6&gt;15000,I6&lt;=20000),150,200)))</f>
        <v>200</v>
      </c>
      <c r="N6" s="32">
        <f t="shared" ref="N6:N19" si="4">IF(H6&lt;=21000,I6*0.75%,0)</f>
        <v>0</v>
      </c>
      <c r="O6" s="32">
        <f>IF(H6&lt;=21000,I6*3.25%,0)</f>
        <v>0</v>
      </c>
      <c r="P6" s="32">
        <f t="shared" ref="P6:P19" si="5">IF(J6&lt;=21000,J6*12%,0)</f>
        <v>1320</v>
      </c>
      <c r="Q6" s="32">
        <f t="shared" ref="Q6:Q19" si="6">IF(J6&lt;=21000,J6*3.67%,0)</f>
        <v>403.7</v>
      </c>
      <c r="R6" s="32">
        <f t="shared" ref="R6:R20" si="7">IF(J6&lt;=21000,J6*8.33%,0)</f>
        <v>916.3</v>
      </c>
      <c r="S6" s="32">
        <v>0</v>
      </c>
      <c r="T6" s="33">
        <f t="shared" ref="T6:T20" si="8">I6-M6-N6-O6-P6-Q6-R6</f>
        <v>24660</v>
      </c>
    </row>
    <row r="7" spans="1:20" s="18" customFormat="1" ht="13.8" x14ac:dyDescent="0.3">
      <c r="A7" s="31">
        <v>101484429652</v>
      </c>
      <c r="B7" s="10" t="s">
        <v>27</v>
      </c>
      <c r="C7" s="11" t="s">
        <v>24</v>
      </c>
      <c r="D7" s="12" t="s">
        <v>28</v>
      </c>
      <c r="E7" s="10">
        <v>31</v>
      </c>
      <c r="F7" s="10">
        <v>31</v>
      </c>
      <c r="G7" s="10">
        <v>0</v>
      </c>
      <c r="H7" s="10">
        <v>30800</v>
      </c>
      <c r="I7" s="10">
        <f t="shared" si="0"/>
        <v>30800</v>
      </c>
      <c r="J7" s="10">
        <f t="shared" si="1"/>
        <v>12320</v>
      </c>
      <c r="K7" s="10">
        <f t="shared" si="2"/>
        <v>10780</v>
      </c>
      <c r="L7" s="10">
        <v>3342</v>
      </c>
      <c r="M7" s="10">
        <f>IF(I7&lt;=15000,0,(IF(AND(I7&gt;15000,I7&lt;=20000),150,200)))</f>
        <v>200</v>
      </c>
      <c r="N7" s="32">
        <f t="shared" si="4"/>
        <v>0</v>
      </c>
      <c r="O7" s="32">
        <f t="shared" ref="O7:O19" si="9">IF(H7&lt;=21000,I7*3.25%,0)</f>
        <v>0</v>
      </c>
      <c r="P7" s="32">
        <f t="shared" si="5"/>
        <v>1478.3999999999999</v>
      </c>
      <c r="Q7" s="32">
        <f t="shared" si="6"/>
        <v>452.14399999999995</v>
      </c>
      <c r="R7" s="32">
        <f t="shared" si="7"/>
        <v>1026.2560000000001</v>
      </c>
      <c r="S7" s="32">
        <v>0</v>
      </c>
      <c r="T7" s="33">
        <f>I7-M7-N7-O7-P7-Q7-R7</f>
        <v>27643.199999999997</v>
      </c>
    </row>
    <row r="8" spans="1:20" s="18" customFormat="1" ht="13.8" x14ac:dyDescent="0.3">
      <c r="A8" s="31">
        <v>101995161638</v>
      </c>
      <c r="B8" s="10" t="s">
        <v>29</v>
      </c>
      <c r="C8" s="11" t="s">
        <v>24</v>
      </c>
      <c r="D8" s="12" t="s">
        <v>30</v>
      </c>
      <c r="E8" s="10">
        <v>31</v>
      </c>
      <c r="F8" s="10">
        <v>31</v>
      </c>
      <c r="G8" s="10">
        <v>0</v>
      </c>
      <c r="H8" s="10">
        <v>31900</v>
      </c>
      <c r="I8" s="10">
        <f t="shared" si="0"/>
        <v>31900</v>
      </c>
      <c r="J8" s="10">
        <f t="shared" si="1"/>
        <v>12760</v>
      </c>
      <c r="K8" s="10">
        <f t="shared" si="2"/>
        <v>11165</v>
      </c>
      <c r="L8" s="10">
        <v>3496</v>
      </c>
      <c r="M8" s="10">
        <f t="shared" ref="M8:M12" si="10">IF(I8&lt;=15000,0,(IF(AND(I8&gt;15000,I8&lt;=20000),150,200)))</f>
        <v>200</v>
      </c>
      <c r="N8" s="32">
        <f t="shared" si="4"/>
        <v>0</v>
      </c>
      <c r="O8" s="32">
        <f t="shared" si="9"/>
        <v>0</v>
      </c>
      <c r="P8" s="32">
        <f t="shared" si="5"/>
        <v>1531.2</v>
      </c>
      <c r="Q8" s="32">
        <f t="shared" si="6"/>
        <v>468.29199999999997</v>
      </c>
      <c r="R8" s="32">
        <f t="shared" si="7"/>
        <v>1062.9079999999999</v>
      </c>
      <c r="S8" s="32">
        <v>0</v>
      </c>
      <c r="T8" s="33">
        <f t="shared" ref="T8" si="11">I8-M8-N8-O8-P8-Q8-R8</f>
        <v>28637.599999999999</v>
      </c>
    </row>
    <row r="9" spans="1:20" s="18" customFormat="1" ht="13.8" x14ac:dyDescent="0.3">
      <c r="A9" s="31">
        <v>101995160807</v>
      </c>
      <c r="B9" s="10" t="s">
        <v>31</v>
      </c>
      <c r="C9" s="11" t="s">
        <v>24</v>
      </c>
      <c r="D9" s="12" t="s">
        <v>32</v>
      </c>
      <c r="E9" s="10">
        <v>31</v>
      </c>
      <c r="F9" s="10">
        <v>31</v>
      </c>
      <c r="G9" s="10">
        <v>0</v>
      </c>
      <c r="H9" s="10">
        <v>27500</v>
      </c>
      <c r="I9" s="10">
        <f t="shared" si="0"/>
        <v>27500</v>
      </c>
      <c r="J9" s="10">
        <f t="shared" si="1"/>
        <v>11000</v>
      </c>
      <c r="K9" s="10">
        <f t="shared" si="2"/>
        <v>9625</v>
      </c>
      <c r="L9" s="10">
        <v>3188</v>
      </c>
      <c r="M9" s="10">
        <f t="shared" si="10"/>
        <v>200</v>
      </c>
      <c r="N9" s="32">
        <f t="shared" si="4"/>
        <v>0</v>
      </c>
      <c r="O9" s="32">
        <f t="shared" si="9"/>
        <v>0</v>
      </c>
      <c r="P9" s="32">
        <f t="shared" si="5"/>
        <v>1320</v>
      </c>
      <c r="Q9" s="32">
        <f t="shared" si="6"/>
        <v>403.7</v>
      </c>
      <c r="R9" s="32">
        <f t="shared" si="7"/>
        <v>916.3</v>
      </c>
      <c r="S9" s="32">
        <v>0</v>
      </c>
      <c r="T9" s="34">
        <f>I9-M9-N9-O9-P9-Q9-R9</f>
        <v>24660</v>
      </c>
    </row>
    <row r="10" spans="1:20" s="18" customFormat="1" ht="13.8" x14ac:dyDescent="0.3">
      <c r="A10" s="31">
        <v>101455597347</v>
      </c>
      <c r="B10" s="10" t="s">
        <v>33</v>
      </c>
      <c r="C10" s="11" t="s">
        <v>34</v>
      </c>
      <c r="D10" s="12" t="s">
        <v>35</v>
      </c>
      <c r="E10" s="26">
        <v>31</v>
      </c>
      <c r="F10" s="26">
        <v>31</v>
      </c>
      <c r="G10" s="26">
        <v>0</v>
      </c>
      <c r="H10" s="26">
        <v>30000</v>
      </c>
      <c r="I10" s="10">
        <f>H10/E10*(F10-G10)</f>
        <v>30000</v>
      </c>
      <c r="J10" s="26">
        <f t="shared" si="1"/>
        <v>12000</v>
      </c>
      <c r="K10" s="26">
        <f t="shared" si="2"/>
        <v>10500</v>
      </c>
      <c r="L10" s="26">
        <f>H10-J10-K10</f>
        <v>7500</v>
      </c>
      <c r="M10" s="10">
        <f t="shared" si="10"/>
        <v>200</v>
      </c>
      <c r="N10" s="32">
        <f t="shared" si="4"/>
        <v>0</v>
      </c>
      <c r="O10" s="32">
        <f t="shared" si="9"/>
        <v>0</v>
      </c>
      <c r="P10" s="32">
        <f t="shared" si="5"/>
        <v>1440</v>
      </c>
      <c r="Q10" s="32">
        <f t="shared" si="6"/>
        <v>440.4</v>
      </c>
      <c r="R10" s="32">
        <f t="shared" si="7"/>
        <v>999.6</v>
      </c>
      <c r="S10" s="35"/>
      <c r="T10" s="34">
        <f>I10-M10-N10-O10-P10-Q10-R10</f>
        <v>26920</v>
      </c>
    </row>
    <row r="11" spans="1:20" s="18" customFormat="1" ht="27.6" x14ac:dyDescent="0.3">
      <c r="A11" s="36">
        <v>101572550247</v>
      </c>
      <c r="B11" s="37" t="s">
        <v>36</v>
      </c>
      <c r="C11" s="13" t="s">
        <v>24</v>
      </c>
      <c r="D11" s="14" t="s">
        <v>37</v>
      </c>
      <c r="E11" s="37">
        <v>31</v>
      </c>
      <c r="F11" s="37">
        <v>31</v>
      </c>
      <c r="G11" s="37"/>
      <c r="H11" s="37">
        <v>31000</v>
      </c>
      <c r="I11" s="37">
        <v>31000</v>
      </c>
      <c r="J11" s="38">
        <f>H11*40%</f>
        <v>12400</v>
      </c>
      <c r="K11" s="38">
        <f>H11*35%</f>
        <v>10850</v>
      </c>
      <c r="L11" s="38">
        <f>H11-J11-K11</f>
        <v>7750</v>
      </c>
      <c r="M11" s="37">
        <f t="shared" si="10"/>
        <v>200</v>
      </c>
      <c r="N11" s="37"/>
      <c r="O11" s="37"/>
      <c r="P11" s="39">
        <f>IF(J11&lt;=21000,J11*12%,0)</f>
        <v>1488</v>
      </c>
      <c r="Q11" s="39">
        <f t="shared" si="6"/>
        <v>455.08</v>
      </c>
      <c r="R11" s="39">
        <f t="shared" si="7"/>
        <v>1032.92</v>
      </c>
      <c r="S11" s="37"/>
      <c r="T11" s="40">
        <f t="shared" ref="T11:T12" si="12">I11-M11-N11-O11-P11-Q11-R11</f>
        <v>27824</v>
      </c>
    </row>
    <row r="12" spans="1:20" s="18" customFormat="1" ht="13.8" x14ac:dyDescent="0.3">
      <c r="A12" s="31">
        <v>100133943936</v>
      </c>
      <c r="B12" s="10" t="s">
        <v>38</v>
      </c>
      <c r="C12" s="11" t="s">
        <v>24</v>
      </c>
      <c r="D12" s="12" t="s">
        <v>39</v>
      </c>
      <c r="E12" s="10">
        <v>31</v>
      </c>
      <c r="F12" s="10">
        <v>31</v>
      </c>
      <c r="G12" s="10"/>
      <c r="H12" s="10">
        <v>24000</v>
      </c>
      <c r="I12" s="10">
        <v>24000</v>
      </c>
      <c r="J12" s="26">
        <f>H12*40%</f>
        <v>9600</v>
      </c>
      <c r="K12" s="26">
        <f>H12*35%</f>
        <v>8400</v>
      </c>
      <c r="L12" s="26">
        <f>H12-J12-K12</f>
        <v>6000</v>
      </c>
      <c r="M12" s="10">
        <f t="shared" si="10"/>
        <v>200</v>
      </c>
      <c r="N12" s="10"/>
      <c r="O12" s="10"/>
      <c r="P12" s="32">
        <f t="shared" si="5"/>
        <v>1152</v>
      </c>
      <c r="Q12" s="32">
        <f t="shared" si="6"/>
        <v>352.32</v>
      </c>
      <c r="R12" s="32">
        <f t="shared" si="7"/>
        <v>799.68</v>
      </c>
      <c r="S12" s="10"/>
      <c r="T12" s="34">
        <f t="shared" si="12"/>
        <v>21496</v>
      </c>
    </row>
    <row r="13" spans="1:20" s="18" customFormat="1" ht="13.8" x14ac:dyDescent="0.3">
      <c r="A13" s="31">
        <v>101304644381</v>
      </c>
      <c r="B13" s="10" t="s">
        <v>40</v>
      </c>
      <c r="C13" s="11" t="s">
        <v>24</v>
      </c>
      <c r="D13" s="12" t="s">
        <v>41</v>
      </c>
      <c r="E13" s="10">
        <v>31</v>
      </c>
      <c r="F13" s="10">
        <v>31</v>
      </c>
      <c r="G13" s="10">
        <v>0</v>
      </c>
      <c r="H13" s="10">
        <v>27300</v>
      </c>
      <c r="I13" s="10">
        <f>H13/E13*(F13-G13)</f>
        <v>27300</v>
      </c>
      <c r="J13" s="26">
        <f>H13*40%</f>
        <v>10920</v>
      </c>
      <c r="K13" s="10">
        <f>H13*35%</f>
        <v>9555</v>
      </c>
      <c r="L13" s="26">
        <f t="shared" ref="L13" si="13">H13-J13-K13</f>
        <v>6825</v>
      </c>
      <c r="M13" s="10">
        <f>IF(I13&lt;=15000,0,(IF(AND(I13&gt;15000,I13&lt;=20000),150,200)))</f>
        <v>200</v>
      </c>
      <c r="N13" s="32">
        <f>IF(H13&lt;=21000,I13*0.75%,0)</f>
        <v>0</v>
      </c>
      <c r="O13" s="32">
        <f>IF(H13&lt;=21000,I13*3.25%,0)</f>
        <v>0</v>
      </c>
      <c r="P13" s="32">
        <f>IF(J13&lt;=21000,J13*12%,0)</f>
        <v>1310.3999999999999</v>
      </c>
      <c r="Q13" s="32">
        <f>IF(J13&lt;=21000,J13*3.67%,0)</f>
        <v>400.76399999999995</v>
      </c>
      <c r="R13" s="32">
        <f>IF(J13&lt;=21000,J13*8.33%,0)</f>
        <v>909.63599999999997</v>
      </c>
      <c r="S13" s="32">
        <v>0</v>
      </c>
      <c r="T13" s="34">
        <f>I13-M13-N13-O13-P13-Q13-R13</f>
        <v>24479.200000000001</v>
      </c>
    </row>
    <row r="14" spans="1:20" s="18" customFormat="1" ht="13.8" x14ac:dyDescent="0.3">
      <c r="A14" s="31">
        <v>100317527039</v>
      </c>
      <c r="B14" s="10" t="s">
        <v>42</v>
      </c>
      <c r="C14" s="11" t="s">
        <v>43</v>
      </c>
      <c r="D14" s="12" t="s">
        <v>44</v>
      </c>
      <c r="E14" s="10">
        <v>31</v>
      </c>
      <c r="F14" s="10">
        <v>31</v>
      </c>
      <c r="G14" s="10">
        <v>0</v>
      </c>
      <c r="H14" s="10">
        <v>56160</v>
      </c>
      <c r="I14" s="10">
        <f t="shared" si="0"/>
        <v>56160</v>
      </c>
      <c r="J14" s="10">
        <f t="shared" si="1"/>
        <v>22464</v>
      </c>
      <c r="K14" s="10">
        <f t="shared" si="2"/>
        <v>19656</v>
      </c>
      <c r="L14" s="10">
        <v>5806</v>
      </c>
      <c r="M14" s="10">
        <f t="shared" si="3"/>
        <v>200</v>
      </c>
      <c r="N14" s="32">
        <f t="shared" si="4"/>
        <v>0</v>
      </c>
      <c r="O14" s="32">
        <f t="shared" si="9"/>
        <v>0</v>
      </c>
      <c r="P14" s="32">
        <v>1800</v>
      </c>
      <c r="Q14" s="32">
        <v>550</v>
      </c>
      <c r="R14" s="32">
        <v>1250</v>
      </c>
      <c r="S14" s="32">
        <v>0</v>
      </c>
      <c r="T14" s="34">
        <f t="shared" ref="T14" si="14">I14-M14-N14-O14-P14-Q14-R14</f>
        <v>52360</v>
      </c>
    </row>
    <row r="15" spans="1:20" s="18" customFormat="1" ht="13.8" x14ac:dyDescent="0.3">
      <c r="A15" s="31">
        <v>101503554514</v>
      </c>
      <c r="B15" s="10" t="s">
        <v>45</v>
      </c>
      <c r="C15" s="11" t="s">
        <v>43</v>
      </c>
      <c r="D15" s="12" t="s">
        <v>46</v>
      </c>
      <c r="E15" s="10">
        <v>31</v>
      </c>
      <c r="F15" s="10">
        <v>31</v>
      </c>
      <c r="G15" s="10">
        <v>0</v>
      </c>
      <c r="H15" s="10">
        <v>30800</v>
      </c>
      <c r="I15" s="10">
        <f>H15/E15*(F15-G15)</f>
        <v>30800</v>
      </c>
      <c r="J15" s="10">
        <f t="shared" si="1"/>
        <v>12320</v>
      </c>
      <c r="K15" s="10">
        <f t="shared" si="2"/>
        <v>10780</v>
      </c>
      <c r="L15" s="10">
        <v>3650</v>
      </c>
      <c r="M15" s="10">
        <f t="shared" si="3"/>
        <v>200</v>
      </c>
      <c r="N15" s="32">
        <f t="shared" si="4"/>
        <v>0</v>
      </c>
      <c r="O15" s="32">
        <f t="shared" si="9"/>
        <v>0</v>
      </c>
      <c r="P15" s="32">
        <f t="shared" si="5"/>
        <v>1478.3999999999999</v>
      </c>
      <c r="Q15" s="32">
        <f t="shared" si="6"/>
        <v>452.14399999999995</v>
      </c>
      <c r="R15" s="32">
        <f t="shared" si="7"/>
        <v>1026.2560000000001</v>
      </c>
      <c r="S15" s="32">
        <v>0</v>
      </c>
      <c r="T15" s="34">
        <f t="shared" si="8"/>
        <v>27643.199999999997</v>
      </c>
    </row>
    <row r="16" spans="1:20" s="18" customFormat="1" ht="13.8" x14ac:dyDescent="0.3">
      <c r="A16" s="31">
        <v>101195807696</v>
      </c>
      <c r="B16" s="10" t="s">
        <v>47</v>
      </c>
      <c r="C16" s="11" t="s">
        <v>48</v>
      </c>
      <c r="D16" s="12" t="s">
        <v>49</v>
      </c>
      <c r="E16" s="10">
        <v>31</v>
      </c>
      <c r="F16" s="10">
        <v>31</v>
      </c>
      <c r="G16" s="10">
        <v>0</v>
      </c>
      <c r="H16" s="10">
        <v>22000</v>
      </c>
      <c r="I16" s="10">
        <f>H16/E16*(F16-G16)</f>
        <v>22000</v>
      </c>
      <c r="J16" s="10">
        <f t="shared" si="1"/>
        <v>8800</v>
      </c>
      <c r="K16" s="10">
        <f t="shared" si="2"/>
        <v>7699.9999999999991</v>
      </c>
      <c r="L16" s="10">
        <v>2194</v>
      </c>
      <c r="M16" s="10">
        <f t="shared" si="3"/>
        <v>200</v>
      </c>
      <c r="N16" s="32">
        <f t="shared" si="4"/>
        <v>0</v>
      </c>
      <c r="O16" s="32">
        <f t="shared" si="9"/>
        <v>0</v>
      </c>
      <c r="P16" s="32">
        <f t="shared" si="5"/>
        <v>1056</v>
      </c>
      <c r="Q16" s="32">
        <f t="shared" si="6"/>
        <v>322.95999999999998</v>
      </c>
      <c r="R16" s="32">
        <f t="shared" si="7"/>
        <v>733.04</v>
      </c>
      <c r="S16" s="32">
        <v>0</v>
      </c>
      <c r="T16" s="34">
        <f t="shared" si="8"/>
        <v>19688</v>
      </c>
    </row>
    <row r="17" spans="1:20" s="18" customFormat="1" ht="13.8" x14ac:dyDescent="0.3">
      <c r="A17" s="31">
        <v>101995161617</v>
      </c>
      <c r="B17" s="10" t="s">
        <v>50</v>
      </c>
      <c r="C17" s="11" t="s">
        <v>51</v>
      </c>
      <c r="D17" s="12" t="s">
        <v>32</v>
      </c>
      <c r="E17" s="10">
        <v>31</v>
      </c>
      <c r="F17" s="10">
        <v>31</v>
      </c>
      <c r="G17" s="10">
        <v>0</v>
      </c>
      <c r="H17" s="10">
        <v>16400</v>
      </c>
      <c r="I17" s="10">
        <f>H17/E17*(F17-G17)</f>
        <v>16400</v>
      </c>
      <c r="J17" s="10">
        <f t="shared" si="1"/>
        <v>6560</v>
      </c>
      <c r="K17" s="10">
        <f t="shared" si="2"/>
        <v>5740</v>
      </c>
      <c r="L17" s="10">
        <v>1596</v>
      </c>
      <c r="M17" s="10">
        <f t="shared" si="3"/>
        <v>150</v>
      </c>
      <c r="N17" s="32">
        <f t="shared" si="4"/>
        <v>123</v>
      </c>
      <c r="O17" s="32">
        <f t="shared" si="9"/>
        <v>533</v>
      </c>
      <c r="P17" s="32">
        <f t="shared" si="5"/>
        <v>787.19999999999993</v>
      </c>
      <c r="Q17" s="32">
        <f t="shared" si="6"/>
        <v>240.75199999999998</v>
      </c>
      <c r="R17" s="32">
        <f t="shared" si="7"/>
        <v>546.44799999999998</v>
      </c>
      <c r="S17" s="32">
        <v>0</v>
      </c>
      <c r="T17" s="34">
        <f t="shared" si="8"/>
        <v>14019.599999999999</v>
      </c>
    </row>
    <row r="18" spans="1:20" s="18" customFormat="1" ht="13.8" x14ac:dyDescent="0.3">
      <c r="A18" s="31">
        <v>101995161640</v>
      </c>
      <c r="B18" s="10" t="s">
        <v>52</v>
      </c>
      <c r="C18" s="11" t="s">
        <v>51</v>
      </c>
      <c r="D18" s="12" t="s">
        <v>32</v>
      </c>
      <c r="E18" s="10">
        <v>31</v>
      </c>
      <c r="F18" s="10">
        <v>31</v>
      </c>
      <c r="G18" s="10">
        <v>0</v>
      </c>
      <c r="H18" s="10">
        <v>17940</v>
      </c>
      <c r="I18" s="10">
        <f t="shared" si="0"/>
        <v>17940</v>
      </c>
      <c r="J18" s="10">
        <f t="shared" si="1"/>
        <v>7176</v>
      </c>
      <c r="K18" s="10">
        <f t="shared" si="2"/>
        <v>6279</v>
      </c>
      <c r="L18" s="31">
        <v>1605.5999999999967</v>
      </c>
      <c r="M18" s="10">
        <f t="shared" si="3"/>
        <v>150</v>
      </c>
      <c r="N18" s="32">
        <f t="shared" si="4"/>
        <v>134.54999999999998</v>
      </c>
      <c r="O18" s="32">
        <f t="shared" si="9"/>
        <v>583.05000000000007</v>
      </c>
      <c r="P18" s="32">
        <f t="shared" si="5"/>
        <v>861.12</v>
      </c>
      <c r="Q18" s="32">
        <f t="shared" si="6"/>
        <v>263.35919999999999</v>
      </c>
      <c r="R18" s="32">
        <f t="shared" si="7"/>
        <v>597.76080000000002</v>
      </c>
      <c r="S18" s="32">
        <v>0</v>
      </c>
      <c r="T18" s="34">
        <f t="shared" si="8"/>
        <v>15350.16</v>
      </c>
    </row>
    <row r="19" spans="1:20" s="18" customFormat="1" ht="13.8" x14ac:dyDescent="0.3">
      <c r="A19" s="31">
        <v>101995161655</v>
      </c>
      <c r="B19" s="10" t="s">
        <v>53</v>
      </c>
      <c r="C19" s="11" t="s">
        <v>54</v>
      </c>
      <c r="D19" s="12" t="s">
        <v>55</v>
      </c>
      <c r="E19" s="10">
        <v>31</v>
      </c>
      <c r="F19" s="10">
        <v>31</v>
      </c>
      <c r="G19" s="10">
        <v>0</v>
      </c>
      <c r="H19" s="10">
        <v>16900</v>
      </c>
      <c r="I19" s="10">
        <f t="shared" si="0"/>
        <v>16900</v>
      </c>
      <c r="J19" s="10">
        <f t="shared" si="1"/>
        <v>6760</v>
      </c>
      <c r="K19" s="10">
        <f t="shared" si="2"/>
        <v>5915</v>
      </c>
      <c r="L19" s="10">
        <v>1596</v>
      </c>
      <c r="M19" s="10">
        <f t="shared" si="3"/>
        <v>150</v>
      </c>
      <c r="N19" s="32">
        <f t="shared" si="4"/>
        <v>126.75</v>
      </c>
      <c r="O19" s="32">
        <f t="shared" si="9"/>
        <v>549.25</v>
      </c>
      <c r="P19" s="32">
        <f t="shared" si="5"/>
        <v>811.19999999999993</v>
      </c>
      <c r="Q19" s="32">
        <f t="shared" si="6"/>
        <v>248.09199999999998</v>
      </c>
      <c r="R19" s="32">
        <f t="shared" si="7"/>
        <v>563.10799999999995</v>
      </c>
      <c r="S19" s="32">
        <v>0</v>
      </c>
      <c r="T19" s="34">
        <f t="shared" si="8"/>
        <v>14451.599999999999</v>
      </c>
    </row>
    <row r="20" spans="1:20" s="18" customFormat="1" ht="13.8" x14ac:dyDescent="0.3">
      <c r="A20" s="10"/>
      <c r="B20" s="10" t="s">
        <v>56</v>
      </c>
      <c r="C20" s="11" t="s">
        <v>51</v>
      </c>
      <c r="D20" s="12" t="s">
        <v>44</v>
      </c>
      <c r="E20" s="10">
        <v>31</v>
      </c>
      <c r="F20" s="10">
        <v>31</v>
      </c>
      <c r="G20" s="10">
        <v>0</v>
      </c>
      <c r="H20" s="10">
        <v>60000</v>
      </c>
      <c r="I20" s="10">
        <f t="shared" si="0"/>
        <v>60000</v>
      </c>
      <c r="J20" s="10">
        <f t="shared" si="1"/>
        <v>24000</v>
      </c>
      <c r="K20" s="10">
        <f t="shared" si="2"/>
        <v>21000</v>
      </c>
      <c r="L20" s="10">
        <v>13300.000000000007</v>
      </c>
      <c r="M20" s="10">
        <f>IF(I20&lt;=15000,0,(IF(AND(I20&gt;15000,I20&lt;=20000),150,200)))</f>
        <v>200</v>
      </c>
      <c r="N20" s="32">
        <f>IF(H20&lt;=21000,I20*0.75%,0)</f>
        <v>0</v>
      </c>
      <c r="O20" s="32">
        <f>IF(H20&lt;=21000,I20*3.25%,0)</f>
        <v>0</v>
      </c>
      <c r="P20" s="32">
        <f>IF(J20&lt;=21000,J20*12%,0)</f>
        <v>0</v>
      </c>
      <c r="Q20" s="32">
        <f>IF(J20&lt;=21000,J20*3.67%,0)</f>
        <v>0</v>
      </c>
      <c r="R20" s="32">
        <f t="shared" si="7"/>
        <v>0</v>
      </c>
      <c r="S20" s="32">
        <v>0</v>
      </c>
      <c r="T20" s="34">
        <f t="shared" si="8"/>
        <v>59800</v>
      </c>
    </row>
    <row r="21" spans="1:20" s="42" customFormat="1" ht="13.8" x14ac:dyDescent="0.3">
      <c r="A21" s="15"/>
      <c r="B21" s="15"/>
      <c r="C21" s="16"/>
      <c r="D21" s="17" t="s">
        <v>57</v>
      </c>
      <c r="E21" s="15"/>
      <c r="F21" s="15"/>
      <c r="G21" s="15"/>
      <c r="H21" s="15">
        <f>SUM(H6:H20)</f>
        <v>450200</v>
      </c>
      <c r="I21" s="15">
        <f>SUM(I6:I20)</f>
        <v>450200</v>
      </c>
      <c r="J21" s="15">
        <f>SUM(J6:J20)</f>
        <v>180080</v>
      </c>
      <c r="K21" s="15">
        <f>SUM(K6:K20)</f>
        <v>157570</v>
      </c>
      <c r="L21" s="15">
        <f>SUM(L6:L20)</f>
        <v>69978.600000000006</v>
      </c>
      <c r="M21" s="15">
        <f>SUM(M6:M20)</f>
        <v>2850</v>
      </c>
      <c r="N21" s="15">
        <f>SUM(N6:N20)</f>
        <v>384.29999999999995</v>
      </c>
      <c r="O21" s="15">
        <f>SUM(O6:O20)</f>
        <v>1665.3000000000002</v>
      </c>
      <c r="P21" s="15">
        <f>SUM(P6:P20)</f>
        <v>17833.919999999998</v>
      </c>
      <c r="Q21" s="15">
        <f>SUM(Q6:Q20)</f>
        <v>5453.7071999999998</v>
      </c>
      <c r="R21" s="15">
        <f>SUM(R6:R20)</f>
        <v>12380.212800000001</v>
      </c>
      <c r="S21" s="15">
        <f>SUM(S6:S20)</f>
        <v>0</v>
      </c>
      <c r="T21" s="41">
        <f>SUM(T6:T20)</f>
        <v>409632.55999999994</v>
      </c>
    </row>
    <row r="22" spans="1:20" s="18" customFormat="1" ht="13.8" x14ac:dyDescent="0.3">
      <c r="C22" s="19"/>
      <c r="D22" s="20"/>
      <c r="T22" s="43"/>
    </row>
    <row r="23" spans="1:20" s="18" customFormat="1" ht="13.8" x14ac:dyDescent="0.3">
      <c r="A23" s="20" t="s">
        <v>58</v>
      </c>
      <c r="C23" s="19"/>
      <c r="D23" s="20"/>
      <c r="P23" s="54" t="s">
        <v>59</v>
      </c>
      <c r="Q23" s="54"/>
      <c r="R23" s="54"/>
      <c r="S23" s="54"/>
      <c r="T23" s="54"/>
    </row>
    <row r="24" spans="1:20" s="18" customFormat="1" ht="13.8" x14ac:dyDescent="0.3">
      <c r="A24" s="20"/>
      <c r="C24" s="19"/>
      <c r="D24" s="20"/>
      <c r="T24" s="19"/>
    </row>
    <row r="25" spans="1:20" s="18" customFormat="1" ht="13.8" x14ac:dyDescent="0.3">
      <c r="A25" s="20"/>
      <c r="C25" s="19"/>
      <c r="D25" s="20"/>
      <c r="T25" s="19"/>
    </row>
    <row r="26" spans="1:20" s="18" customFormat="1" ht="13.8" x14ac:dyDescent="0.3">
      <c r="A26" s="20"/>
      <c r="C26" s="19"/>
      <c r="D26" s="20"/>
      <c r="P26" s="44"/>
      <c r="T26" s="19"/>
    </row>
    <row r="27" spans="1:20" s="18" customFormat="1" ht="13.8" x14ac:dyDescent="0.3">
      <c r="A27" s="20"/>
      <c r="C27" s="19"/>
      <c r="D27" s="20"/>
      <c r="P27" s="45"/>
      <c r="T27" s="19"/>
    </row>
    <row r="28" spans="1:20" s="18" customFormat="1" ht="13.8" x14ac:dyDescent="0.3">
      <c r="A28" s="20" t="s">
        <v>60</v>
      </c>
      <c r="C28" s="53" t="s">
        <v>61</v>
      </c>
      <c r="D28" s="53"/>
      <c r="I28" s="18" t="s">
        <v>62</v>
      </c>
      <c r="P28" s="44"/>
      <c r="Q28" s="54" t="s">
        <v>63</v>
      </c>
      <c r="R28" s="54"/>
      <c r="S28" s="19"/>
      <c r="T28" s="19"/>
    </row>
    <row r="29" spans="1:20" ht="15.6" x14ac:dyDescent="0.3">
      <c r="A29" s="21"/>
      <c r="P29" s="23"/>
      <c r="Q29" s="22"/>
      <c r="R29" s="22"/>
      <c r="S29" s="22"/>
    </row>
    <row r="30" spans="1:20" ht="15.6" x14ac:dyDescent="0.3">
      <c r="A30" s="21"/>
      <c r="P30" s="23"/>
      <c r="Q30" s="22"/>
      <c r="R30" s="22"/>
      <c r="S30" s="22"/>
    </row>
    <row r="31" spans="1:20" ht="15.6" x14ac:dyDescent="0.3">
      <c r="A31" s="21"/>
      <c r="P31" s="23"/>
      <c r="Q31" s="22"/>
      <c r="R31" s="22"/>
      <c r="S31" s="22"/>
    </row>
    <row r="32" spans="1:20" ht="15.6" x14ac:dyDescent="0.3">
      <c r="A32" s="21"/>
      <c r="P32" s="23"/>
      <c r="Q32" s="22"/>
      <c r="R32" s="22"/>
      <c r="S32" s="22"/>
    </row>
    <row r="33" spans="1:20" ht="23.4" x14ac:dyDescent="0.45">
      <c r="A33" s="55" t="s">
        <v>0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</row>
    <row r="34" spans="1:20" ht="15.6" x14ac:dyDescent="0.3">
      <c r="A34" s="56" t="s">
        <v>1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</row>
    <row r="35" spans="1:20" x14ac:dyDescent="0.3">
      <c r="A35" s="57" t="s">
        <v>2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</row>
    <row r="36" spans="1:20" s="18" customFormat="1" ht="27.6" x14ac:dyDescent="0.3">
      <c r="A36" s="46"/>
      <c r="B36" s="46" t="s">
        <v>5</v>
      </c>
      <c r="C36" s="24" t="s">
        <v>6</v>
      </c>
      <c r="D36" s="25" t="s">
        <v>7</v>
      </c>
      <c r="E36" s="46" t="s">
        <v>8</v>
      </c>
      <c r="F36" s="46" t="s">
        <v>9</v>
      </c>
      <c r="G36" s="46" t="s">
        <v>10</v>
      </c>
      <c r="H36" s="46" t="s">
        <v>11</v>
      </c>
      <c r="I36" s="46" t="s">
        <v>12</v>
      </c>
      <c r="J36" s="46" t="s">
        <v>13</v>
      </c>
      <c r="K36" s="46" t="s">
        <v>14</v>
      </c>
      <c r="L36" s="46" t="s">
        <v>15</v>
      </c>
      <c r="M36" s="46"/>
      <c r="N36" s="46"/>
      <c r="O36" s="46"/>
      <c r="P36" s="46"/>
      <c r="Q36" s="46"/>
      <c r="R36" s="46"/>
      <c r="S36" s="46"/>
      <c r="T36" s="47" t="s">
        <v>23</v>
      </c>
    </row>
    <row r="37" spans="1:20" s="18" customFormat="1" ht="13.8" x14ac:dyDescent="0.3">
      <c r="A37" s="10"/>
      <c r="B37" s="10" t="s">
        <v>64</v>
      </c>
      <c r="C37" s="11" t="s">
        <v>24</v>
      </c>
      <c r="D37" s="12" t="s">
        <v>65</v>
      </c>
      <c r="E37" s="10"/>
      <c r="F37" s="10"/>
      <c r="G37" s="10">
        <v>0</v>
      </c>
      <c r="H37" s="10">
        <v>9000</v>
      </c>
      <c r="I37" s="10">
        <v>9000</v>
      </c>
      <c r="J37" s="26">
        <f t="shared" ref="J37:J45" si="15">H37*40%</f>
        <v>3600</v>
      </c>
      <c r="K37" s="26">
        <f t="shared" ref="K37:K45" si="16">H37*35%</f>
        <v>3150</v>
      </c>
      <c r="L37" s="26">
        <f t="shared" ref="L37:L45" si="17">H37-J37-K37</f>
        <v>2250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/>
      <c r="S37" s="35"/>
      <c r="T37" s="34">
        <f t="shared" ref="T37:T40" si="18">J37+K37+L37</f>
        <v>9000</v>
      </c>
    </row>
    <row r="38" spans="1:20" s="18" customFormat="1" ht="13.8" x14ac:dyDescent="0.3">
      <c r="A38" s="10"/>
      <c r="B38" s="10" t="s">
        <v>66</v>
      </c>
      <c r="C38" s="11" t="s">
        <v>34</v>
      </c>
      <c r="D38" s="12" t="s">
        <v>67</v>
      </c>
      <c r="E38" s="10">
        <v>31</v>
      </c>
      <c r="F38" s="10">
        <v>31</v>
      </c>
      <c r="G38" s="10"/>
      <c r="H38" s="10">
        <v>17000</v>
      </c>
      <c r="I38" s="10">
        <v>17000</v>
      </c>
      <c r="J38" s="26">
        <f t="shared" si="15"/>
        <v>6800</v>
      </c>
      <c r="K38" s="26">
        <f t="shared" si="16"/>
        <v>5950</v>
      </c>
      <c r="L38" s="26">
        <f t="shared" si="17"/>
        <v>4250</v>
      </c>
      <c r="M38" s="35"/>
      <c r="N38" s="35"/>
      <c r="O38" s="35"/>
      <c r="P38" s="35"/>
      <c r="Q38" s="35"/>
      <c r="R38" s="35"/>
      <c r="S38" s="35"/>
      <c r="T38" s="34">
        <f t="shared" si="18"/>
        <v>17000</v>
      </c>
    </row>
    <row r="39" spans="1:20" s="18" customFormat="1" ht="13.8" x14ac:dyDescent="0.3">
      <c r="A39" s="10"/>
      <c r="B39" s="10" t="s">
        <v>68</v>
      </c>
      <c r="C39" s="11" t="s">
        <v>34</v>
      </c>
      <c r="D39" s="12"/>
      <c r="E39" s="10">
        <v>31</v>
      </c>
      <c r="F39" s="10">
        <v>31</v>
      </c>
      <c r="G39" s="10"/>
      <c r="H39" s="10">
        <v>15000</v>
      </c>
      <c r="I39" s="10">
        <v>15000</v>
      </c>
      <c r="J39" s="10">
        <f>H39*40%</f>
        <v>6000</v>
      </c>
      <c r="K39" s="10">
        <f>H39*35%</f>
        <v>5250</v>
      </c>
      <c r="L39" s="26">
        <f>H39-J39-K39</f>
        <v>3750</v>
      </c>
      <c r="M39" s="10"/>
      <c r="N39" s="32"/>
      <c r="O39" s="32"/>
      <c r="P39" s="32"/>
      <c r="Q39" s="32"/>
      <c r="R39" s="32"/>
      <c r="S39" s="32"/>
      <c r="T39" s="34">
        <f>J39+K39+L39</f>
        <v>15000</v>
      </c>
    </row>
    <row r="40" spans="1:20" s="18" customFormat="1" ht="13.8" x14ac:dyDescent="0.3">
      <c r="A40" s="10"/>
      <c r="B40" s="10" t="s">
        <v>69</v>
      </c>
      <c r="C40" s="11" t="s">
        <v>34</v>
      </c>
      <c r="D40" s="12" t="s">
        <v>70</v>
      </c>
      <c r="E40" s="10">
        <v>31</v>
      </c>
      <c r="F40" s="10">
        <v>31</v>
      </c>
      <c r="G40" s="10"/>
      <c r="H40" s="10">
        <v>15000</v>
      </c>
      <c r="I40" s="10">
        <v>15000</v>
      </c>
      <c r="J40" s="26">
        <f t="shared" si="15"/>
        <v>6000</v>
      </c>
      <c r="K40" s="26">
        <f t="shared" si="16"/>
        <v>5250</v>
      </c>
      <c r="L40" s="26">
        <f t="shared" si="17"/>
        <v>3750</v>
      </c>
      <c r="M40" s="35"/>
      <c r="N40" s="35"/>
      <c r="O40" s="35"/>
      <c r="P40" s="35"/>
      <c r="Q40" s="35"/>
      <c r="R40" s="35"/>
      <c r="S40" s="35"/>
      <c r="T40" s="34">
        <f t="shared" si="18"/>
        <v>15000</v>
      </c>
    </row>
    <row r="41" spans="1:20" s="18" customFormat="1" ht="13.8" x14ac:dyDescent="0.3">
      <c r="A41" s="48">
        <v>45687</v>
      </c>
      <c r="B41" s="10" t="s">
        <v>71</v>
      </c>
      <c r="C41" s="11" t="s">
        <v>34</v>
      </c>
      <c r="D41" s="12" t="s">
        <v>39</v>
      </c>
      <c r="E41" s="10">
        <v>31</v>
      </c>
      <c r="F41" s="10">
        <v>31</v>
      </c>
      <c r="G41" s="10">
        <v>0</v>
      </c>
      <c r="H41" s="10">
        <v>15000</v>
      </c>
      <c r="I41" s="10">
        <v>15000</v>
      </c>
      <c r="J41" s="26">
        <f t="shared" si="15"/>
        <v>6000</v>
      </c>
      <c r="K41" s="26">
        <f t="shared" si="16"/>
        <v>5250</v>
      </c>
      <c r="L41" s="26">
        <f t="shared" si="17"/>
        <v>3750</v>
      </c>
      <c r="M41" s="10"/>
      <c r="N41" s="10"/>
      <c r="O41" s="10"/>
      <c r="P41" s="10"/>
      <c r="Q41" s="10"/>
      <c r="R41" s="10"/>
      <c r="S41" s="10"/>
      <c r="T41" s="34">
        <v>15000</v>
      </c>
    </row>
    <row r="42" spans="1:20" s="18" customFormat="1" ht="13.8" x14ac:dyDescent="0.3">
      <c r="A42" s="10"/>
      <c r="B42" s="26" t="s">
        <v>72</v>
      </c>
      <c r="C42" s="27" t="s">
        <v>73</v>
      </c>
      <c r="D42" s="28" t="s">
        <v>74</v>
      </c>
      <c r="E42" s="10">
        <v>31</v>
      </c>
      <c r="F42" s="10">
        <v>31</v>
      </c>
      <c r="G42" s="26">
        <v>0</v>
      </c>
      <c r="H42" s="26">
        <v>16000</v>
      </c>
      <c r="I42" s="26">
        <v>14500</v>
      </c>
      <c r="J42" s="26">
        <f t="shared" si="15"/>
        <v>6400</v>
      </c>
      <c r="K42" s="26">
        <f t="shared" si="16"/>
        <v>5600</v>
      </c>
      <c r="L42" s="26">
        <f t="shared" si="17"/>
        <v>4000</v>
      </c>
      <c r="M42" s="49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/>
      <c r="T42" s="34">
        <f>J42+K42+L42</f>
        <v>16000</v>
      </c>
    </row>
    <row r="43" spans="1:20" s="18" customFormat="1" ht="13.8" x14ac:dyDescent="0.3">
      <c r="A43" s="10"/>
      <c r="B43" s="26" t="s">
        <v>75</v>
      </c>
      <c r="C43" s="27" t="s">
        <v>43</v>
      </c>
      <c r="D43" s="28" t="s">
        <v>76</v>
      </c>
      <c r="E43" s="10">
        <v>31</v>
      </c>
      <c r="F43" s="10">
        <v>31</v>
      </c>
      <c r="G43" s="10">
        <v>2</v>
      </c>
      <c r="H43" s="10">
        <v>18000</v>
      </c>
      <c r="I43" s="10">
        <f>H43/E43*(F43-G43)</f>
        <v>16838.709677419356</v>
      </c>
      <c r="J43" s="26">
        <f>H43*40%</f>
        <v>7200</v>
      </c>
      <c r="K43" s="10">
        <f t="shared" si="16"/>
        <v>6300</v>
      </c>
      <c r="L43" s="26">
        <f>H43-J43-K43</f>
        <v>4500</v>
      </c>
      <c r="M43" s="10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/>
      <c r="T43" s="11">
        <v>16839</v>
      </c>
    </row>
    <row r="44" spans="1:20" s="18" customFormat="1" ht="13.8" x14ac:dyDescent="0.3">
      <c r="A44" s="10"/>
      <c r="B44" s="26" t="s">
        <v>77</v>
      </c>
      <c r="C44" s="11" t="s">
        <v>43</v>
      </c>
      <c r="D44" s="28" t="s">
        <v>70</v>
      </c>
      <c r="E44" s="10">
        <v>31</v>
      </c>
      <c r="F44" s="10">
        <v>31</v>
      </c>
      <c r="G44" s="26">
        <v>0</v>
      </c>
      <c r="H44" s="26">
        <v>18000</v>
      </c>
      <c r="I44" s="26">
        <v>18000</v>
      </c>
      <c r="J44" s="26">
        <f t="shared" si="15"/>
        <v>7200</v>
      </c>
      <c r="K44" s="26">
        <f t="shared" si="16"/>
        <v>6300</v>
      </c>
      <c r="L44" s="26">
        <f t="shared" si="17"/>
        <v>4500</v>
      </c>
      <c r="M44" s="49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/>
      <c r="T44" s="34">
        <f t="shared" ref="T44:T45" si="19">J44+K44+L44</f>
        <v>18000</v>
      </c>
    </row>
    <row r="45" spans="1:20" s="18" customFormat="1" ht="13.8" x14ac:dyDescent="0.3">
      <c r="A45" s="10"/>
      <c r="B45" s="10" t="s">
        <v>78</v>
      </c>
      <c r="C45" s="11" t="s">
        <v>43</v>
      </c>
      <c r="D45" s="12" t="s">
        <v>79</v>
      </c>
      <c r="E45" s="10">
        <v>31</v>
      </c>
      <c r="F45" s="10">
        <v>31</v>
      </c>
      <c r="G45" s="10"/>
      <c r="H45" s="10">
        <v>16000</v>
      </c>
      <c r="I45" s="10">
        <v>16000</v>
      </c>
      <c r="J45" s="10">
        <f t="shared" si="15"/>
        <v>6400</v>
      </c>
      <c r="K45" s="10">
        <f t="shared" si="16"/>
        <v>5600</v>
      </c>
      <c r="L45" s="26">
        <f t="shared" si="17"/>
        <v>4000</v>
      </c>
      <c r="M45" s="10"/>
      <c r="N45" s="10"/>
      <c r="O45" s="10"/>
      <c r="P45" s="10"/>
      <c r="Q45" s="10"/>
      <c r="R45" s="10"/>
      <c r="S45" s="10"/>
      <c r="T45" s="34">
        <f t="shared" si="19"/>
        <v>16000</v>
      </c>
    </row>
    <row r="46" spans="1:20" s="18" customFormat="1" ht="13.8" x14ac:dyDescent="0.3">
      <c r="A46" s="48">
        <v>45627</v>
      </c>
      <c r="B46" s="10" t="s">
        <v>80</v>
      </c>
      <c r="C46" s="11" t="s">
        <v>43</v>
      </c>
      <c r="D46" s="12" t="s">
        <v>79</v>
      </c>
      <c r="E46" s="10">
        <v>31</v>
      </c>
      <c r="F46" s="10">
        <v>31</v>
      </c>
      <c r="G46" s="10">
        <v>0</v>
      </c>
      <c r="H46" s="10">
        <v>18000</v>
      </c>
      <c r="I46" s="10">
        <v>18000</v>
      </c>
      <c r="J46" s="10">
        <f>H46*40%</f>
        <v>7200</v>
      </c>
      <c r="K46" s="10">
        <f>H46*35%</f>
        <v>6300</v>
      </c>
      <c r="L46" s="10">
        <f>H46-J46-K46</f>
        <v>4500</v>
      </c>
      <c r="M46" s="10"/>
      <c r="N46" s="10"/>
      <c r="O46" s="10"/>
      <c r="P46" s="32"/>
      <c r="Q46" s="32"/>
      <c r="R46" s="32"/>
      <c r="S46" s="32"/>
      <c r="T46" s="34">
        <f>18000-600</f>
        <v>17400</v>
      </c>
    </row>
    <row r="47" spans="1:20" s="18" customFormat="1" ht="13.8" x14ac:dyDescent="0.3">
      <c r="A47" s="48">
        <v>45820</v>
      </c>
      <c r="B47" s="10" t="s">
        <v>81</v>
      </c>
      <c r="C47" s="11" t="s">
        <v>82</v>
      </c>
      <c r="D47" s="12" t="s">
        <v>83</v>
      </c>
      <c r="E47" s="10">
        <v>31</v>
      </c>
      <c r="F47" s="10">
        <v>31</v>
      </c>
      <c r="G47" s="10"/>
      <c r="H47" s="10">
        <v>17000</v>
      </c>
      <c r="I47" s="10">
        <v>17000</v>
      </c>
      <c r="J47" s="10">
        <f>H47*40%</f>
        <v>6800</v>
      </c>
      <c r="K47" s="10">
        <f>H47*35%</f>
        <v>5950</v>
      </c>
      <c r="L47" s="26">
        <f>H47-J47-K47</f>
        <v>4250</v>
      </c>
      <c r="M47" s="10"/>
      <c r="N47" s="10"/>
      <c r="O47" s="10"/>
      <c r="P47" s="10"/>
      <c r="Q47" s="10"/>
      <c r="R47" s="10"/>
      <c r="S47" s="10"/>
      <c r="T47" s="34">
        <f>J47+K47+L47</f>
        <v>17000</v>
      </c>
    </row>
    <row r="48" spans="1:20" s="18" customFormat="1" ht="13.8" x14ac:dyDescent="0.3">
      <c r="A48" s="48">
        <v>45992</v>
      </c>
      <c r="B48" s="10" t="s">
        <v>84</v>
      </c>
      <c r="C48" s="11" t="s">
        <v>34</v>
      </c>
      <c r="D48" s="12" t="s">
        <v>74</v>
      </c>
      <c r="E48" s="10">
        <v>31</v>
      </c>
      <c r="F48" s="10">
        <v>31</v>
      </c>
      <c r="G48" s="10"/>
      <c r="H48" s="10">
        <v>22000</v>
      </c>
      <c r="I48" s="10"/>
      <c r="J48" s="10">
        <f>H48*40%</f>
        <v>8800</v>
      </c>
      <c r="K48" s="10">
        <f>H48*35%</f>
        <v>7699.9999999999991</v>
      </c>
      <c r="L48" s="26">
        <f>H48-J48-K48</f>
        <v>5500.0000000000009</v>
      </c>
      <c r="M48" s="10"/>
      <c r="N48" s="10"/>
      <c r="O48" s="10"/>
      <c r="P48" s="10"/>
      <c r="Q48" s="10"/>
      <c r="R48" s="10"/>
      <c r="S48" s="10"/>
      <c r="T48" s="34">
        <v>22000</v>
      </c>
    </row>
    <row r="49" spans="1:21" s="18" customFormat="1" ht="13.8" x14ac:dyDescent="0.3">
      <c r="A49" s="48"/>
      <c r="B49" s="10" t="s">
        <v>85</v>
      </c>
      <c r="C49" s="11" t="s">
        <v>34</v>
      </c>
      <c r="D49" s="12" t="s">
        <v>86</v>
      </c>
      <c r="E49" s="10">
        <v>31</v>
      </c>
      <c r="F49" s="10">
        <v>31</v>
      </c>
      <c r="G49" s="10"/>
      <c r="H49" s="10"/>
      <c r="I49" s="10"/>
      <c r="J49" s="10"/>
      <c r="K49" s="10"/>
      <c r="L49" s="26"/>
      <c r="M49" s="10"/>
      <c r="N49" s="10"/>
      <c r="O49" s="10"/>
      <c r="P49" s="10"/>
      <c r="Q49" s="10"/>
      <c r="R49" s="10"/>
      <c r="S49" s="10"/>
      <c r="T49" s="34"/>
    </row>
    <row r="50" spans="1:21" s="18" customFormat="1" ht="13.8" x14ac:dyDescent="0.3">
      <c r="A50" s="10"/>
      <c r="B50" s="59" t="s">
        <v>87</v>
      </c>
      <c r="C50" s="59"/>
      <c r="D50" s="59"/>
      <c r="E50" s="10"/>
      <c r="F50" s="10"/>
      <c r="G50" s="10"/>
      <c r="H50" s="50">
        <f>SUM(H37:H48)</f>
        <v>196000</v>
      </c>
      <c r="I50" s="50">
        <f>SUM(I37:I47)</f>
        <v>171338.70967741936</v>
      </c>
      <c r="J50" s="50">
        <f>SUM(J37:J48)</f>
        <v>78400</v>
      </c>
      <c r="K50" s="50">
        <f>SUM(K37:K48)</f>
        <v>68600</v>
      </c>
      <c r="L50" s="50">
        <f>SUM(L37:L48)</f>
        <v>49000</v>
      </c>
      <c r="M50" s="51">
        <f>SUM(M6:M20)</f>
        <v>2850</v>
      </c>
      <c r="N50" s="51">
        <f>SUM(N6:N20)</f>
        <v>384.29999999999995</v>
      </c>
      <c r="O50" s="51">
        <f>SUM(O6:O20)</f>
        <v>1665.3000000000002</v>
      </c>
      <c r="P50" s="51">
        <f>SUM(P6:P20)</f>
        <v>17833.919999999998</v>
      </c>
      <c r="Q50" s="51">
        <f>SUM(Q6:Q20)</f>
        <v>5453.7071999999998</v>
      </c>
      <c r="R50" s="51">
        <f>SUM(R6:R20)</f>
        <v>12380.212800000001</v>
      </c>
      <c r="S50" s="51"/>
      <c r="T50" s="34">
        <f>SUM(T37:T47)</f>
        <v>172239</v>
      </c>
      <c r="U50" s="52"/>
    </row>
    <row r="51" spans="1:21" s="18" customFormat="1" ht="13.8" x14ac:dyDescent="0.3">
      <c r="C51" s="19"/>
      <c r="D51" s="20"/>
      <c r="T51" s="43"/>
    </row>
    <row r="52" spans="1:21" s="18" customFormat="1" ht="13.8" x14ac:dyDescent="0.3">
      <c r="A52" s="20" t="s">
        <v>58</v>
      </c>
      <c r="C52" s="19"/>
      <c r="D52" s="20"/>
      <c r="P52" s="54" t="s">
        <v>59</v>
      </c>
      <c r="Q52" s="54"/>
      <c r="R52" s="54"/>
      <c r="S52" s="54"/>
      <c r="T52" s="54"/>
    </row>
    <row r="53" spans="1:21" s="18" customFormat="1" ht="13.8" x14ac:dyDescent="0.3">
      <c r="A53" s="20"/>
      <c r="C53" s="19"/>
      <c r="D53" s="20"/>
      <c r="T53" s="19"/>
    </row>
    <row r="54" spans="1:21" s="18" customFormat="1" ht="13.8" x14ac:dyDescent="0.3">
      <c r="A54" s="20"/>
      <c r="C54" s="19"/>
      <c r="D54" s="20"/>
      <c r="T54" s="19"/>
    </row>
    <row r="55" spans="1:21" s="18" customFormat="1" ht="13.8" x14ac:dyDescent="0.3">
      <c r="A55" s="20"/>
      <c r="C55" s="19"/>
      <c r="D55" s="20"/>
      <c r="P55" s="44"/>
      <c r="T55" s="19"/>
    </row>
    <row r="56" spans="1:21" s="18" customFormat="1" ht="13.8" x14ac:dyDescent="0.3">
      <c r="A56" s="20"/>
      <c r="C56" s="19"/>
      <c r="D56" s="20"/>
      <c r="P56" s="45"/>
      <c r="T56" s="19"/>
    </row>
    <row r="57" spans="1:21" s="18" customFormat="1" ht="13.8" x14ac:dyDescent="0.3">
      <c r="A57" s="20" t="s">
        <v>60</v>
      </c>
      <c r="C57" s="53" t="s">
        <v>61</v>
      </c>
      <c r="D57" s="53"/>
      <c r="I57" s="18" t="s">
        <v>62</v>
      </c>
      <c r="P57" s="44"/>
      <c r="Q57" s="54" t="s">
        <v>63</v>
      </c>
      <c r="R57" s="54"/>
      <c r="S57" s="19"/>
      <c r="T57" s="19"/>
    </row>
    <row r="58" spans="1:21" s="18" customFormat="1" ht="13.8" x14ac:dyDescent="0.3">
      <c r="C58" s="19"/>
      <c r="D58" s="20"/>
      <c r="P58" s="44"/>
      <c r="Q58" s="54"/>
      <c r="R58" s="54"/>
      <c r="S58" s="19"/>
      <c r="T58" s="19"/>
    </row>
    <row r="59" spans="1:21" s="18" customFormat="1" ht="13.8" x14ac:dyDescent="0.3">
      <c r="C59" s="19"/>
      <c r="D59" s="20"/>
      <c r="T59" s="19"/>
    </row>
    <row r="60" spans="1:21" ht="18" x14ac:dyDescent="0.35">
      <c r="R60" s="29"/>
      <c r="S60" s="30"/>
    </row>
  </sheetData>
  <mergeCells count="15">
    <mergeCell ref="Q58:R58"/>
    <mergeCell ref="A33:T33"/>
    <mergeCell ref="A34:T34"/>
    <mergeCell ref="A35:T35"/>
    <mergeCell ref="B50:D50"/>
    <mergeCell ref="P52:T52"/>
    <mergeCell ref="C57:D57"/>
    <mergeCell ref="Q57:R57"/>
    <mergeCell ref="C28:D28"/>
    <mergeCell ref="Q28:R28"/>
    <mergeCell ref="A1:T1"/>
    <mergeCell ref="A2:T2"/>
    <mergeCell ref="A3:T3"/>
    <mergeCell ref="Q4:R4"/>
    <mergeCell ref="P23:T23"/>
  </mergeCells>
  <printOptions horizontalCentered="1"/>
  <pageMargins left="0.19685039370078741" right="0.19685039370078741" top="0.74803149606299213" bottom="0.74803149606299213" header="0.31496062992125984" footer="0.31496062992125984"/>
  <pageSetup scale="76" orientation="landscape" r:id="rId1"/>
  <rowBreaks count="1" manualBreakCount="1"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Rishi Seeds</cp:lastModifiedBy>
  <cp:lastPrinted>2026-01-08T11:57:12Z</cp:lastPrinted>
  <dcterms:created xsi:type="dcterms:W3CDTF">2026-01-08T11:54:36Z</dcterms:created>
  <dcterms:modified xsi:type="dcterms:W3CDTF">2026-01-20T08:16:43Z</dcterms:modified>
</cp:coreProperties>
</file>