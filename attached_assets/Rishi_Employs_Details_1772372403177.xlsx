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ishi\Desktop\"/>
    </mc:Choice>
  </mc:AlternateContent>
  <bookViews>
    <workbookView xWindow="0" yWindow="0" windowWidth="28800" windowHeight="115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7" i="1" l="1"/>
  <c r="N57" i="1"/>
  <c r="P57" i="1" s="1"/>
  <c r="P56" i="1"/>
  <c r="X56" i="1" s="1"/>
  <c r="O56" i="1"/>
  <c r="N56" i="1"/>
  <c r="O55" i="1"/>
  <c r="N55" i="1"/>
  <c r="O54" i="1"/>
  <c r="N54" i="1"/>
  <c r="O53" i="1"/>
  <c r="N53" i="1"/>
  <c r="O51" i="1"/>
  <c r="N51" i="1"/>
  <c r="P51" i="1" s="1"/>
  <c r="O52" i="1"/>
  <c r="N52" i="1"/>
  <c r="N50" i="1"/>
  <c r="X50" i="1"/>
  <c r="X58" i="1"/>
  <c r="X49" i="1"/>
  <c r="M59" i="1"/>
  <c r="L59" i="1"/>
  <c r="O50" i="1"/>
  <c r="P50" i="1"/>
  <c r="O49" i="1"/>
  <c r="N49" i="1"/>
  <c r="P49" i="1" s="1"/>
  <c r="X48" i="1"/>
  <c r="O48" i="1"/>
  <c r="N48" i="1"/>
  <c r="P48" i="1" s="1"/>
  <c r="O47" i="1"/>
  <c r="N47" i="1"/>
  <c r="O46" i="1"/>
  <c r="N46" i="1"/>
  <c r="O45" i="1"/>
  <c r="N45" i="1"/>
  <c r="O44" i="1"/>
  <c r="N44" i="1"/>
  <c r="O43" i="1"/>
  <c r="N43" i="1"/>
  <c r="P43" i="1" s="1"/>
  <c r="O42" i="1"/>
  <c r="N42" i="1"/>
  <c r="P42" i="1" s="1"/>
  <c r="O39" i="1"/>
  <c r="N39" i="1"/>
  <c r="O38" i="1"/>
  <c r="N38" i="1"/>
  <c r="O37" i="1"/>
  <c r="N37" i="1"/>
  <c r="P37" i="1" s="1"/>
  <c r="W21" i="1"/>
  <c r="L21" i="1"/>
  <c r="S20" i="1"/>
  <c r="R20" i="1"/>
  <c r="O20" i="1"/>
  <c r="N20" i="1"/>
  <c r="U20" i="1" s="1"/>
  <c r="M20" i="1"/>
  <c r="O19" i="1"/>
  <c r="N19" i="1"/>
  <c r="U19" i="1" s="1"/>
  <c r="M19" i="1"/>
  <c r="S19" i="1" s="1"/>
  <c r="O18" i="1"/>
  <c r="N18" i="1"/>
  <c r="V18" i="1" s="1"/>
  <c r="M18" i="1"/>
  <c r="O17" i="1"/>
  <c r="N17" i="1"/>
  <c r="U17" i="1" s="1"/>
  <c r="M17" i="1"/>
  <c r="R17" i="1" s="1"/>
  <c r="S16" i="1"/>
  <c r="R16" i="1"/>
  <c r="O16" i="1"/>
  <c r="N16" i="1"/>
  <c r="U16" i="1" s="1"/>
  <c r="M16" i="1"/>
  <c r="Q16" i="1" s="1"/>
  <c r="S15" i="1"/>
  <c r="R15" i="1"/>
  <c r="O15" i="1"/>
  <c r="N15" i="1"/>
  <c r="V15" i="1" s="1"/>
  <c r="M15" i="1"/>
  <c r="S14" i="1"/>
  <c r="R14" i="1"/>
  <c r="O14" i="1"/>
  <c r="N14" i="1"/>
  <c r="M14" i="1"/>
  <c r="S13" i="1"/>
  <c r="R13" i="1"/>
  <c r="O13" i="1"/>
  <c r="N13" i="1"/>
  <c r="V13" i="1" s="1"/>
  <c r="M13" i="1"/>
  <c r="O41" i="1"/>
  <c r="N41" i="1"/>
  <c r="O40" i="1"/>
  <c r="N40" i="1"/>
  <c r="S12" i="1"/>
  <c r="R12" i="1"/>
  <c r="O12" i="1"/>
  <c r="N12" i="1"/>
  <c r="U12" i="1" s="1"/>
  <c r="M12" i="1"/>
  <c r="Q12" i="1" s="1"/>
  <c r="S11" i="1"/>
  <c r="R11" i="1"/>
  <c r="O11" i="1"/>
  <c r="N11" i="1"/>
  <c r="V11" i="1" s="1"/>
  <c r="M11" i="1"/>
  <c r="Q11" i="1" s="1"/>
  <c r="T10" i="1"/>
  <c r="S10" i="1"/>
  <c r="R10" i="1"/>
  <c r="O10" i="1"/>
  <c r="N10" i="1"/>
  <c r="V10" i="1" s="1"/>
  <c r="M10" i="1"/>
  <c r="S9" i="1"/>
  <c r="R9" i="1"/>
  <c r="O9" i="1"/>
  <c r="N9" i="1"/>
  <c r="T9" i="1" s="1"/>
  <c r="M9" i="1"/>
  <c r="Q9" i="1" s="1"/>
  <c r="S8" i="1"/>
  <c r="R8" i="1"/>
  <c r="O8" i="1"/>
  <c r="N8" i="1"/>
  <c r="U8" i="1" s="1"/>
  <c r="M8" i="1"/>
  <c r="Q8" i="1" s="1"/>
  <c r="R7" i="1"/>
  <c r="O7" i="1"/>
  <c r="N7" i="1"/>
  <c r="M7" i="1"/>
  <c r="Q7" i="1" s="1"/>
  <c r="R6" i="1"/>
  <c r="O6" i="1"/>
  <c r="N6" i="1"/>
  <c r="V6" i="1" s="1"/>
  <c r="M6" i="1"/>
  <c r="P53" i="1" l="1"/>
  <c r="X53" i="1" s="1"/>
  <c r="P54" i="1"/>
  <c r="X54" i="1" s="1"/>
  <c r="X57" i="1"/>
  <c r="P55" i="1"/>
  <c r="X55" i="1" s="1"/>
  <c r="X51" i="1"/>
  <c r="P52" i="1"/>
  <c r="X52" i="1" s="1"/>
  <c r="S17" i="1"/>
  <c r="V17" i="1"/>
  <c r="P39" i="1"/>
  <c r="X39" i="1" s="1"/>
  <c r="P47" i="1"/>
  <c r="X47" i="1" s="1"/>
  <c r="P45" i="1"/>
  <c r="R19" i="1"/>
  <c r="U6" i="1"/>
  <c r="X6" i="1" s="1"/>
  <c r="T19" i="1"/>
  <c r="X40" i="1"/>
  <c r="T18" i="1"/>
  <c r="P41" i="1"/>
  <c r="T6" i="1"/>
  <c r="T15" i="1"/>
  <c r="V19" i="1"/>
  <c r="T20" i="1"/>
  <c r="T16" i="1"/>
  <c r="T17" i="1"/>
  <c r="V20" i="1"/>
  <c r="P38" i="1"/>
  <c r="X38" i="1" s="1"/>
  <c r="M21" i="1"/>
  <c r="V16" i="1"/>
  <c r="V12" i="1"/>
  <c r="N21" i="1"/>
  <c r="Q14" i="1"/>
  <c r="X14" i="1" s="1"/>
  <c r="O21" i="1"/>
  <c r="P12" i="1"/>
  <c r="Q19" i="1"/>
  <c r="P46" i="1"/>
  <c r="X46" i="1" s="1"/>
  <c r="O59" i="1"/>
  <c r="V8" i="1"/>
  <c r="X7" i="1"/>
  <c r="U9" i="1"/>
  <c r="Q10" i="1"/>
  <c r="X10" i="1" s="1"/>
  <c r="T12" i="1"/>
  <c r="P40" i="1"/>
  <c r="X41" i="1"/>
  <c r="Q13" i="1"/>
  <c r="R18" i="1"/>
  <c r="R21" i="1" s="1"/>
  <c r="X37" i="1"/>
  <c r="X42" i="1"/>
  <c r="P44" i="1"/>
  <c r="T8" i="1"/>
  <c r="V9" i="1"/>
  <c r="T11" i="1"/>
  <c r="Q17" i="1"/>
  <c r="S18" i="1"/>
  <c r="Q20" i="1"/>
  <c r="U11" i="1"/>
  <c r="N59" i="1"/>
  <c r="T13" i="1"/>
  <c r="U15" i="1"/>
  <c r="U18" i="1"/>
  <c r="U10" i="1"/>
  <c r="U13" i="1"/>
  <c r="P13" i="1"/>
  <c r="Q15" i="1"/>
  <c r="Q18" i="1"/>
  <c r="X59" i="1" l="1"/>
  <c r="S59" i="1"/>
  <c r="X13" i="1"/>
  <c r="X19" i="1"/>
  <c r="X16" i="1"/>
  <c r="X17" i="1"/>
  <c r="X12" i="1"/>
  <c r="T59" i="1"/>
  <c r="X15" i="1"/>
  <c r="X11" i="1"/>
  <c r="X20" i="1"/>
  <c r="X9" i="1"/>
  <c r="S21" i="1"/>
  <c r="U59" i="1"/>
  <c r="X18" i="1"/>
  <c r="P59" i="1"/>
  <c r="P21" i="1"/>
  <c r="X8" i="1"/>
  <c r="V59" i="1"/>
  <c r="Q59" i="1"/>
  <c r="Q21" i="1"/>
  <c r="R59" i="1"/>
  <c r="V21" i="1"/>
  <c r="U21" i="1"/>
  <c r="T21" i="1"/>
  <c r="X44" i="1"/>
  <c r="X21" i="1" l="1"/>
</calcChain>
</file>

<file path=xl/sharedStrings.xml><?xml version="1.0" encoding="utf-8"?>
<sst xmlns="http://schemas.openxmlformats.org/spreadsheetml/2006/main" count="234" uniqueCount="164">
  <si>
    <t>RISHI HYBRID SEEDS PVT LTD</t>
  </si>
  <si>
    <t>Sy no. 713,Plot no. 38 Part-Devarayamjal Village,Shameerpet Medchal-Malkajgiri Dist,Secunderabad,Telangana-500078</t>
  </si>
  <si>
    <t>December-2025 Month Saleres</t>
  </si>
  <si>
    <t>PF Employer Share</t>
  </si>
  <si>
    <t>PF NUMBER</t>
  </si>
  <si>
    <t>Name</t>
  </si>
  <si>
    <t>State</t>
  </si>
  <si>
    <t>Designation</t>
  </si>
  <si>
    <t>No.of Days</t>
  </si>
  <si>
    <t>Working days</t>
  </si>
  <si>
    <t>LOP</t>
  </si>
  <si>
    <t>Gross Salary</t>
  </si>
  <si>
    <t>Earned Salary</t>
  </si>
  <si>
    <t>Basic + DA</t>
  </si>
  <si>
    <t>HRA</t>
  </si>
  <si>
    <t>Other Allowances</t>
  </si>
  <si>
    <t>Professional Tax</t>
  </si>
  <si>
    <t>Esi Employee</t>
  </si>
  <si>
    <t>Esi Employer</t>
  </si>
  <si>
    <t xml:space="preserve">PF Employee Share 
</t>
  </si>
  <si>
    <t>EPF Employer Share
A/c no:1</t>
  </si>
  <si>
    <t>EPS
A/c no:10</t>
  </si>
  <si>
    <t>TDS</t>
  </si>
  <si>
    <t xml:space="preserve">paid </t>
  </si>
  <si>
    <t>V.Prathap Reddy</t>
  </si>
  <si>
    <t>TS</t>
  </si>
  <si>
    <t>Managing Director</t>
  </si>
  <si>
    <t>Mr. AVULA KRUPAKAR</t>
  </si>
  <si>
    <t>Adm Plant</t>
  </si>
  <si>
    <t>Mr. KATTA GOPI</t>
  </si>
  <si>
    <t>Plant Accounts</t>
  </si>
  <si>
    <t>Mr. SIRIPOTHULA NARESH</t>
  </si>
  <si>
    <t>Plant Quality executive</t>
  </si>
  <si>
    <t>Mr. BODDU SANDEEP</t>
  </si>
  <si>
    <t>Plant SR.Production</t>
  </si>
  <si>
    <t>Mr. SIKKE PURUSHOTHAM</t>
  </si>
  <si>
    <t>Plant SEM</t>
  </si>
  <si>
    <t>Mr.TEKULAPALLY ANIL REDDY</t>
  </si>
  <si>
    <t>Ts</t>
  </si>
  <si>
    <t>Plant Sales Officer</t>
  </si>
  <si>
    <t>Chinthala Praveen</t>
  </si>
  <si>
    <t>Plant PROCESSING &amp; PACKING INCHARGE</t>
  </si>
  <si>
    <t>Ravelli Devender</t>
  </si>
  <si>
    <t>PLANT OPERATOR</t>
  </si>
  <si>
    <t>Plant TSM</t>
  </si>
  <si>
    <t>Mr. RAJ KUMAR SINGH</t>
  </si>
  <si>
    <t>MP</t>
  </si>
  <si>
    <t>Plant RM</t>
  </si>
  <si>
    <t>Mr. AMIT SINGH BAGHEL</t>
  </si>
  <si>
    <t>Plant ASM</t>
  </si>
  <si>
    <t>Mr. DINESH KUMAR THAKUR</t>
  </si>
  <si>
    <t>cg</t>
  </si>
  <si>
    <t>Plant Sales</t>
  </si>
  <si>
    <t>Mr. DHARMENDRA KUMAR</t>
  </si>
  <si>
    <t>UP</t>
  </si>
  <si>
    <t>Mr. RAHUL KUMAR</t>
  </si>
  <si>
    <t>Mr. BABALOO KUMAR</t>
  </si>
  <si>
    <t>Up</t>
  </si>
  <si>
    <t>Plant So</t>
  </si>
  <si>
    <t>Total</t>
  </si>
  <si>
    <t>Hyderabad</t>
  </si>
  <si>
    <t>For RISHI HYBRID SEEDS PVT. LTD.</t>
  </si>
  <si>
    <t>Date:</t>
  </si>
  <si>
    <t>Prepaird By:</t>
  </si>
  <si>
    <t>Approved By</t>
  </si>
  <si>
    <t>Authorised Signatory</t>
  </si>
  <si>
    <t>VISWANATHA REDDY S-EMP</t>
  </si>
  <si>
    <t>Auditer</t>
  </si>
  <si>
    <t>PO(research associate)</t>
  </si>
  <si>
    <t>K RAJKUMAR KARIMNAGAR</t>
  </si>
  <si>
    <t>F/A</t>
  </si>
  <si>
    <t>CG</t>
  </si>
  <si>
    <t>SO</t>
  </si>
  <si>
    <t>Sales</t>
  </si>
  <si>
    <t>F/a</t>
  </si>
  <si>
    <t>Guna Shekar</t>
  </si>
  <si>
    <t>Rs</t>
  </si>
  <si>
    <t>Driver</t>
  </si>
  <si>
    <t>Gajje Narsimha</t>
  </si>
  <si>
    <t>Kavuri Dinesh Babu</t>
  </si>
  <si>
    <t>Production</t>
  </si>
  <si>
    <t>Total Amount</t>
  </si>
  <si>
    <t>Anil Sharma Sharma</t>
  </si>
  <si>
    <t xml:space="preserve">Mobile Number </t>
  </si>
  <si>
    <t>Mail Id</t>
  </si>
  <si>
    <t>Head Quarter</t>
  </si>
  <si>
    <t>mahendrakhusi1983@gmail.com</t>
  </si>
  <si>
    <t>Seoni</t>
  </si>
  <si>
    <t>rk3612@gmail.com</t>
  </si>
  <si>
    <t>Shadool</t>
  </si>
  <si>
    <t xml:space="preserve">Vivek Singh </t>
  </si>
  <si>
    <t xml:space="preserve">viveksingh9589466784@gmail.com </t>
  </si>
  <si>
    <t>Rewa</t>
  </si>
  <si>
    <t>Lalit kumar choudhary</t>
  </si>
  <si>
    <t>lalitchoudhary3892@gmail.com</t>
  </si>
  <si>
    <t>Balaghat</t>
  </si>
  <si>
    <t>Birendra Kumar Tandi</t>
  </si>
  <si>
    <t>tandibirendra993@gmail.com</t>
  </si>
  <si>
    <t>Saraipali</t>
  </si>
  <si>
    <t xml:space="preserve">Mishravikas5434@gmail.com </t>
  </si>
  <si>
    <t>Vikas Mishra</t>
  </si>
  <si>
    <t>sidhi</t>
  </si>
  <si>
    <t>amitsingh1994.baghel@gmail.com</t>
  </si>
  <si>
    <t xml:space="preserve"> katni</t>
  </si>
  <si>
    <t xml:space="preserve">Horil Singh </t>
  </si>
  <si>
    <t>So</t>
  </si>
  <si>
    <t xml:space="preserve">horilsingh1989@gmail.com </t>
  </si>
  <si>
    <t>Deosar District Singrauli</t>
  </si>
  <si>
    <t xml:space="preserve">Abhishek Singh Parihar </t>
  </si>
  <si>
    <t xml:space="preserve">abhiparihar326@gmail.com </t>
  </si>
  <si>
    <t>Satna</t>
  </si>
  <si>
    <t xml:space="preserve">Sharmaa38079@gmail.com </t>
  </si>
  <si>
    <t>Beohari</t>
  </si>
  <si>
    <t>shailendra.rishiseeds@gmail.com</t>
  </si>
  <si>
    <t>Mr.SHAILENDER SING</t>
  </si>
  <si>
    <t>Agra</t>
  </si>
  <si>
    <t>Shovit kumar pandey</t>
  </si>
  <si>
    <t>shovitpandey777@gmail.com</t>
  </si>
  <si>
    <t>Bareilly</t>
  </si>
  <si>
    <t>Mr.MAHENDRA KUMAR BAGHEL</t>
  </si>
  <si>
    <t>9897635990r@gmail.com</t>
  </si>
  <si>
    <t>shivafourmulation@gmail.com</t>
  </si>
  <si>
    <t>rahulnverma1991@gmail.com</t>
  </si>
  <si>
    <t xml:space="preserve">Lakhimpur </t>
  </si>
  <si>
    <t>Auriya</t>
  </si>
  <si>
    <t>Ramanujanagar</t>
  </si>
  <si>
    <t>dineshthakur9753@gmail.com</t>
  </si>
  <si>
    <t>ID Number</t>
  </si>
  <si>
    <t xml:space="preserve">Krishna Kumar </t>
  </si>
  <si>
    <t>Cg</t>
  </si>
  <si>
    <t>krishnakumaryadav3458@gmail.com</t>
  </si>
  <si>
    <t>PATHALGAON</t>
  </si>
  <si>
    <t>narsimhagoud7748@gmail.com</t>
  </si>
  <si>
    <t>Amangal</t>
  </si>
  <si>
    <t>purushotham.sikke@gmail.com</t>
  </si>
  <si>
    <t>Siddipet</t>
  </si>
  <si>
    <t>anilreddy121212tekulapally@gmail.com</t>
  </si>
  <si>
    <t>Gajwel</t>
  </si>
  <si>
    <t>Bahjoi</t>
  </si>
  <si>
    <t>dinukavuri@gmail.com</t>
  </si>
  <si>
    <t>bollidivya18@gmail.com</t>
  </si>
  <si>
    <t>maheshdharmani62642@gmail.com</t>
  </si>
  <si>
    <t>nareshsiripothula9@gmail.com</t>
  </si>
  <si>
    <t>kashukashu1111@gmail.com</t>
  </si>
  <si>
    <t>Pawan</t>
  </si>
  <si>
    <t>kattagopi1996@gmail.com</t>
  </si>
  <si>
    <t>boddu.sandeep143@gmail.com</t>
  </si>
  <si>
    <t>Karminagar</t>
  </si>
  <si>
    <t>chpraveenps143@gmail.com</t>
  </si>
  <si>
    <t>Konaipally</t>
  </si>
  <si>
    <t>ravellidevender123@gmail.com</t>
  </si>
  <si>
    <t>naniprince6302@gmail.com</t>
  </si>
  <si>
    <t>Gopalraopet</t>
  </si>
  <si>
    <t>gunasekhar4236@gmail.com</t>
  </si>
  <si>
    <t>Gadasarai</t>
  </si>
  <si>
    <t>Balarampur</t>
  </si>
  <si>
    <t>mg6733482@gmail.com</t>
  </si>
  <si>
    <t>Mudunuri Swathi</t>
  </si>
  <si>
    <t>sahuji7434@gmail.com</t>
  </si>
  <si>
    <t>Suneel Sahu</t>
  </si>
  <si>
    <t>Mahamad Gulsher Ansari</t>
  </si>
  <si>
    <t>Dharmani Mahesh</t>
  </si>
  <si>
    <t>Bolli Divya</t>
  </si>
  <si>
    <t>Veg Packing Incharge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</si>
</sst>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_ * #,##0_ ;_ * \-#,##0_ ;_ * &quot;-&quot;??_ ;_ @_ 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name val="Calibri"/>
      <family val="2"/>
      <scheme val="minor"/>
    </font>
    <font>
      <sz val="14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9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17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1" fontId="0" fillId="0" borderId="1" xfId="0" applyNumberFormat="1" applyBorder="1"/>
    <xf numFmtId="164" fontId="0" fillId="0" borderId="1" xfId="1" applyNumberFormat="1" applyFont="1" applyBorder="1"/>
    <xf numFmtId="1" fontId="0" fillId="2" borderId="1" xfId="0" applyNumberFormat="1" applyFill="1" applyBorder="1" applyAlignment="1">
      <alignment horizontal="center"/>
    </xf>
    <xf numFmtId="0" fontId="7" fillId="0" borderId="1" xfId="0" applyFont="1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8" fillId="2" borderId="1" xfId="0" applyFont="1" applyFill="1" applyBorder="1"/>
    <xf numFmtId="43" fontId="0" fillId="0" borderId="1" xfId="1" applyFont="1" applyBorder="1"/>
    <xf numFmtId="1" fontId="0" fillId="0" borderId="1" xfId="0" applyNumberFormat="1" applyBorder="1" applyAlignment="1">
      <alignment vertical="center"/>
    </xf>
    <xf numFmtId="0" fontId="0" fillId="0" borderId="1" xfId="0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8" fillId="2" borderId="1" xfId="0" applyFont="1" applyFill="1" applyBorder="1" applyAlignment="1">
      <alignment vertical="center"/>
    </xf>
    <xf numFmtId="164" fontId="0" fillId="0" borderId="1" xfId="1" applyNumberFormat="1" applyFont="1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Fill="1" applyBorder="1"/>
    <xf numFmtId="0" fontId="2" fillId="0" borderId="1" xfId="0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center"/>
    </xf>
    <xf numFmtId="0" fontId="2" fillId="0" borderId="0" xfId="0" applyFont="1"/>
    <xf numFmtId="0" fontId="0" fillId="0" borderId="0" xfId="0" applyBorder="1"/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1" fontId="0" fillId="0" borderId="0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left" vertical="center" indent="15"/>
    </xf>
    <xf numFmtId="0" fontId="10" fillId="0" borderId="0" xfId="0" applyFont="1" applyAlignment="1">
      <alignment horizontal="left" vertical="center" indent="15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wrapText="1"/>
    </xf>
    <xf numFmtId="14" fontId="0" fillId="0" borderId="1" xfId="0" applyNumberFormat="1" applyBorder="1"/>
    <xf numFmtId="0" fontId="11" fillId="2" borderId="1" xfId="0" applyFont="1" applyFill="1" applyBorder="1"/>
    <xf numFmtId="0" fontId="11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left"/>
    </xf>
    <xf numFmtId="43" fontId="8" fillId="2" borderId="1" xfId="1" applyFont="1" applyFill="1" applyBorder="1"/>
    <xf numFmtId="0" fontId="0" fillId="0" borderId="1" xfId="0" applyBorder="1" applyAlignment="1">
      <alignment horizontal="center"/>
    </xf>
    <xf numFmtId="1" fontId="2" fillId="0" borderId="1" xfId="0" applyNumberFormat="1" applyFont="1" applyBorder="1"/>
    <xf numFmtId="43" fontId="2" fillId="0" borderId="1" xfId="1" applyFont="1" applyBorder="1"/>
    <xf numFmtId="43" fontId="2" fillId="0" borderId="2" xfId="1" applyFont="1" applyFill="1" applyBorder="1"/>
    <xf numFmtId="1" fontId="0" fillId="0" borderId="0" xfId="0" applyNumberFormat="1" applyAlignment="1">
      <alignment horizontal="center"/>
    </xf>
    <xf numFmtId="14" fontId="12" fillId="0" borderId="0" xfId="0" applyNumberFormat="1" applyFont="1"/>
    <xf numFmtId="0" fontId="12" fillId="0" borderId="0" xfId="0" applyFont="1"/>
    <xf numFmtId="0" fontId="13" fillId="0" borderId="1" xfId="2" applyBorder="1" applyAlignment="1">
      <alignment horizontal="left"/>
    </xf>
    <xf numFmtId="0" fontId="14" fillId="0" borderId="1" xfId="2" applyFont="1" applyBorder="1" applyAlignment="1">
      <alignment horizontal="left"/>
    </xf>
    <xf numFmtId="0" fontId="6" fillId="0" borderId="1" xfId="0" applyFont="1" applyBorder="1" applyAlignment="1">
      <alignment horizontal="left" vertical="center" wrapText="1"/>
    </xf>
    <xf numFmtId="0" fontId="13" fillId="0" borderId="1" xfId="2" applyBorder="1" applyAlignment="1">
      <alignment horizontal="left" vertical="center" wrapText="1"/>
    </xf>
    <xf numFmtId="0" fontId="0" fillId="0" borderId="0" xfId="0" applyAlignment="1">
      <alignment vertical="center"/>
    </xf>
    <xf numFmtId="0" fontId="13" fillId="2" borderId="1" xfId="2" applyFill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ollidivya18@gmail.com" TargetMode="External"/><Relationship Id="rId13" Type="http://schemas.openxmlformats.org/officeDocument/2006/relationships/hyperlink" Target="mailto:boddu.sandeep143@gmail.com" TargetMode="External"/><Relationship Id="rId18" Type="http://schemas.openxmlformats.org/officeDocument/2006/relationships/hyperlink" Target="mailto:mg6733482@gmail.com" TargetMode="External"/><Relationship Id="rId3" Type="http://schemas.openxmlformats.org/officeDocument/2006/relationships/hyperlink" Target="mailto:dineshthakur9753@gmail.com" TargetMode="External"/><Relationship Id="rId7" Type="http://schemas.openxmlformats.org/officeDocument/2006/relationships/hyperlink" Target="mailto:dinukavuri@gmail.com" TargetMode="External"/><Relationship Id="rId12" Type="http://schemas.openxmlformats.org/officeDocument/2006/relationships/hyperlink" Target="mailto:kattagopi1996@gmail.com" TargetMode="External"/><Relationship Id="rId17" Type="http://schemas.openxmlformats.org/officeDocument/2006/relationships/hyperlink" Target="mailto:gunasekhar4236@gmail.com" TargetMode="External"/><Relationship Id="rId2" Type="http://schemas.openxmlformats.org/officeDocument/2006/relationships/hyperlink" Target="mailto:amitsingh1994.baghel@gmail.com" TargetMode="External"/><Relationship Id="rId16" Type="http://schemas.openxmlformats.org/officeDocument/2006/relationships/hyperlink" Target="mailto:naniprince6302@gmail.com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mailto:mahendrakhusi1983@gmail.com" TargetMode="External"/><Relationship Id="rId6" Type="http://schemas.openxmlformats.org/officeDocument/2006/relationships/hyperlink" Target="mailto:anilreddy121212tekulapally@gmail.com" TargetMode="External"/><Relationship Id="rId11" Type="http://schemas.openxmlformats.org/officeDocument/2006/relationships/hyperlink" Target="mailto:nareshsiripothula9@gmail.com" TargetMode="External"/><Relationship Id="rId5" Type="http://schemas.openxmlformats.org/officeDocument/2006/relationships/hyperlink" Target="mailto:purushotham.sikke@gmail.com" TargetMode="External"/><Relationship Id="rId15" Type="http://schemas.openxmlformats.org/officeDocument/2006/relationships/hyperlink" Target="mailto:ravellidevender123@gmail.com" TargetMode="External"/><Relationship Id="rId10" Type="http://schemas.openxmlformats.org/officeDocument/2006/relationships/hyperlink" Target="mailto:kashukashu1111@gmail.com" TargetMode="External"/><Relationship Id="rId19" Type="http://schemas.openxmlformats.org/officeDocument/2006/relationships/hyperlink" Target="mailto:sahuji7434@gmail.com" TargetMode="External"/><Relationship Id="rId4" Type="http://schemas.openxmlformats.org/officeDocument/2006/relationships/hyperlink" Target="mailto:narsimhagoud7748@gmail.com" TargetMode="External"/><Relationship Id="rId9" Type="http://schemas.openxmlformats.org/officeDocument/2006/relationships/hyperlink" Target="mailto:maheshdharmani62642@gmail.com" TargetMode="External"/><Relationship Id="rId14" Type="http://schemas.openxmlformats.org/officeDocument/2006/relationships/hyperlink" Target="mailto:chpraveenps14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9"/>
  <sheetViews>
    <sheetView tabSelected="1" workbookViewId="0">
      <selection activeCell="C8" sqref="C8:C20"/>
    </sheetView>
  </sheetViews>
  <sheetFormatPr defaultRowHeight="15" x14ac:dyDescent="0.25"/>
  <cols>
    <col min="1" max="1" width="13.85546875" bestFit="1" customWidth="1"/>
    <col min="2" max="2" width="10.5703125" bestFit="1" customWidth="1"/>
    <col min="3" max="3" width="29.28515625" bestFit="1" customWidth="1"/>
    <col min="4" max="4" width="6.7109375" style="44" customWidth="1"/>
    <col min="5" max="6" width="19.7109375" style="43" customWidth="1"/>
    <col min="7" max="7" width="37.140625" style="43" bestFit="1" customWidth="1"/>
    <col min="8" max="8" width="20.7109375" style="43" bestFit="1" customWidth="1"/>
    <col min="9" max="9" width="5.42578125" customWidth="1"/>
    <col min="10" max="10" width="7" customWidth="1"/>
    <col min="11" max="11" width="4" bestFit="1" customWidth="1"/>
    <col min="12" max="12" width="8.140625" customWidth="1"/>
    <col min="13" max="13" width="10.5703125" customWidth="1"/>
    <col min="14" max="14" width="7.140625" customWidth="1"/>
    <col min="15" max="15" width="8.140625" customWidth="1"/>
    <col min="16" max="16" width="9.7109375" customWidth="1"/>
    <col min="17" max="17" width="7.85546875" customWidth="1"/>
    <col min="18" max="18" width="10.28515625" customWidth="1"/>
    <col min="19" max="19" width="8.42578125" customWidth="1"/>
    <col min="20" max="20" width="9.28515625" customWidth="1"/>
    <col min="21" max="21" width="9.7109375" customWidth="1"/>
    <col min="22" max="22" width="11.28515625" customWidth="1"/>
    <col min="23" max="23" width="7" customWidth="1"/>
    <col min="24" max="24" width="7.85546875" style="44" bestFit="1" customWidth="1"/>
    <col min="25" max="25" width="9.140625" hidden="1" customWidth="1"/>
    <col min="26" max="27" width="9.140625" customWidth="1"/>
    <col min="28" max="28" width="9.28515625" customWidth="1"/>
  </cols>
  <sheetData>
    <row r="1" spans="1:24" ht="23.25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7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x14ac:dyDescent="0.25">
      <c r="A4" s="4"/>
      <c r="B4" s="4"/>
      <c r="C4" s="5"/>
      <c r="D4" s="6"/>
      <c r="E4" s="7"/>
      <c r="F4" s="7"/>
      <c r="G4" s="7"/>
      <c r="H4" s="7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8" t="s">
        <v>3</v>
      </c>
      <c r="V4" s="8"/>
      <c r="W4" s="9"/>
      <c r="X4" s="6"/>
    </row>
    <row r="5" spans="1:24" s="13" customFormat="1" ht="60" x14ac:dyDescent="0.25">
      <c r="A5" s="10" t="s">
        <v>4</v>
      </c>
      <c r="B5" s="10" t="s">
        <v>127</v>
      </c>
      <c r="C5" s="10" t="s">
        <v>5</v>
      </c>
      <c r="D5" s="11" t="s">
        <v>6</v>
      </c>
      <c r="E5" s="11" t="s">
        <v>7</v>
      </c>
      <c r="F5" s="11" t="s">
        <v>83</v>
      </c>
      <c r="G5" s="11" t="s">
        <v>84</v>
      </c>
      <c r="H5" s="11" t="s">
        <v>85</v>
      </c>
      <c r="I5" s="10" t="s">
        <v>8</v>
      </c>
      <c r="J5" s="10" t="s">
        <v>9</v>
      </c>
      <c r="K5" s="10" t="s">
        <v>10</v>
      </c>
      <c r="L5" s="10" t="s">
        <v>11</v>
      </c>
      <c r="M5" s="10" t="s">
        <v>12</v>
      </c>
      <c r="N5" s="10" t="s">
        <v>13</v>
      </c>
      <c r="O5" s="10" t="s">
        <v>14</v>
      </c>
      <c r="P5" s="10" t="s">
        <v>15</v>
      </c>
      <c r="Q5" s="10" t="s">
        <v>16</v>
      </c>
      <c r="R5" s="10" t="s">
        <v>17</v>
      </c>
      <c r="S5" s="10" t="s">
        <v>18</v>
      </c>
      <c r="T5" s="10" t="s">
        <v>19</v>
      </c>
      <c r="U5" s="10" t="s">
        <v>20</v>
      </c>
      <c r="V5" s="10" t="s">
        <v>21</v>
      </c>
      <c r="W5" s="10" t="s">
        <v>22</v>
      </c>
      <c r="X5" s="12" t="s">
        <v>23</v>
      </c>
    </row>
    <row r="6" spans="1:24" x14ac:dyDescent="0.25">
      <c r="A6" s="4"/>
      <c r="B6" s="4"/>
      <c r="C6" s="14" t="s">
        <v>24</v>
      </c>
      <c r="D6" s="15" t="s">
        <v>25</v>
      </c>
      <c r="E6" s="16" t="s">
        <v>26</v>
      </c>
      <c r="F6" s="16"/>
      <c r="G6" s="16"/>
      <c r="H6" s="16"/>
      <c r="I6" s="4">
        <v>31</v>
      </c>
      <c r="J6" s="4">
        <v>31</v>
      </c>
      <c r="K6" s="4">
        <v>0</v>
      </c>
      <c r="L6" s="4">
        <v>111421</v>
      </c>
      <c r="M6" s="4">
        <f t="shared" ref="M6:M20" si="0">L6/I6*(J6-K6)</f>
        <v>111421</v>
      </c>
      <c r="N6" s="17">
        <f t="shared" ref="N6:N20" si="1">L6*40%</f>
        <v>44568.4</v>
      </c>
      <c r="O6" s="17">
        <f t="shared" ref="O6:O20" si="2">L6*35%</f>
        <v>38997.35</v>
      </c>
      <c r="P6" s="17">
        <v>22855.25</v>
      </c>
      <c r="Q6" s="4">
        <v>0</v>
      </c>
      <c r="R6" s="18">
        <f t="shared" ref="R6:R19" si="3">IF(L6&lt;=21000,M6*0.75%,0)</f>
        <v>0</v>
      </c>
      <c r="S6" s="18"/>
      <c r="T6" s="18">
        <f t="shared" ref="T6:T19" si="4">IF(N6&lt;=21000,N6*12%,0)</f>
        <v>0</v>
      </c>
      <c r="U6" s="18">
        <f t="shared" ref="U6:U19" si="5">IF(N6&lt;=21000,N6*3.67%,0)</f>
        <v>0</v>
      </c>
      <c r="V6" s="18">
        <f>IF(N6&lt;=21000,N6*8.33%,0)</f>
        <v>0</v>
      </c>
      <c r="W6" s="18">
        <v>0</v>
      </c>
      <c r="X6" s="19">
        <f>M6-Q6-R6-S6-T6-U6-V6-W6</f>
        <v>111421</v>
      </c>
    </row>
    <row r="7" spans="1:24" x14ac:dyDescent="0.25">
      <c r="A7" s="17">
        <v>101104300069</v>
      </c>
      <c r="B7" s="17"/>
      <c r="C7" s="4" t="s">
        <v>27</v>
      </c>
      <c r="D7" s="15" t="s">
        <v>25</v>
      </c>
      <c r="E7" s="16" t="s">
        <v>28</v>
      </c>
      <c r="F7" s="16"/>
      <c r="G7" s="16"/>
      <c r="H7" s="16"/>
      <c r="I7" s="4">
        <v>31</v>
      </c>
      <c r="J7" s="4">
        <v>31</v>
      </c>
      <c r="K7" s="4">
        <v>0</v>
      </c>
      <c r="L7" s="4">
        <v>111438</v>
      </c>
      <c r="M7" s="4">
        <f t="shared" si="0"/>
        <v>111438</v>
      </c>
      <c r="N7" s="17">
        <f t="shared" si="1"/>
        <v>44575.200000000004</v>
      </c>
      <c r="O7" s="17">
        <f t="shared" si="2"/>
        <v>39003.299999999996</v>
      </c>
      <c r="P7" s="17">
        <v>22659.5</v>
      </c>
      <c r="Q7" s="4">
        <f t="shared" ref="Q7:Q19" si="6">IF(M7&lt;=15000,0,(IF(AND(M7&gt;15000,M7&lt;=20000),150,200)))</f>
        <v>200</v>
      </c>
      <c r="R7" s="18">
        <f t="shared" si="3"/>
        <v>0</v>
      </c>
      <c r="S7" s="18"/>
      <c r="T7" s="18">
        <v>1800</v>
      </c>
      <c r="U7" s="18">
        <v>550</v>
      </c>
      <c r="V7" s="18">
        <v>1250</v>
      </c>
      <c r="W7" s="18">
        <v>0</v>
      </c>
      <c r="X7" s="19">
        <f>M7-Q7-R7-S7-T7-U7-V7-W7</f>
        <v>107638</v>
      </c>
    </row>
    <row r="8" spans="1:24" x14ac:dyDescent="0.25">
      <c r="A8" s="17">
        <v>101209347381</v>
      </c>
      <c r="B8" s="17">
        <v>111613</v>
      </c>
      <c r="C8" s="4" t="s">
        <v>29</v>
      </c>
      <c r="D8" s="15" t="s">
        <v>25</v>
      </c>
      <c r="E8" s="16" t="s">
        <v>30</v>
      </c>
      <c r="F8" s="16">
        <v>9177058951</v>
      </c>
      <c r="G8" s="63" t="s">
        <v>145</v>
      </c>
      <c r="H8" s="16" t="s">
        <v>60</v>
      </c>
      <c r="I8" s="4">
        <v>31</v>
      </c>
      <c r="J8" s="4">
        <v>31</v>
      </c>
      <c r="K8" s="4">
        <v>0</v>
      </c>
      <c r="L8" s="4">
        <v>27500</v>
      </c>
      <c r="M8" s="4">
        <f t="shared" si="0"/>
        <v>27500</v>
      </c>
      <c r="N8" s="4">
        <f t="shared" si="1"/>
        <v>11000</v>
      </c>
      <c r="O8" s="4">
        <f t="shared" si="2"/>
        <v>9625</v>
      </c>
      <c r="P8" s="4">
        <v>2130</v>
      </c>
      <c r="Q8" s="4">
        <f t="shared" si="6"/>
        <v>200</v>
      </c>
      <c r="R8" s="18">
        <f t="shared" si="3"/>
        <v>0</v>
      </c>
      <c r="S8" s="18">
        <f>IF(L8&lt;=21000,M8*3.25%,0)</f>
        <v>0</v>
      </c>
      <c r="T8" s="18">
        <f t="shared" si="4"/>
        <v>1320</v>
      </c>
      <c r="U8" s="18">
        <f t="shared" si="5"/>
        <v>403.7</v>
      </c>
      <c r="V8" s="18">
        <f t="shared" ref="V8:V20" si="7">IF(N8&lt;=21000,N8*8.33%,0)</f>
        <v>916.3</v>
      </c>
      <c r="W8" s="18">
        <v>0</v>
      </c>
      <c r="X8" s="19">
        <f t="shared" ref="X8:X20" si="8">M8-Q8-R8-S8-T8-U8-V8</f>
        <v>24660</v>
      </c>
    </row>
    <row r="9" spans="1:24" x14ac:dyDescent="0.25">
      <c r="A9" s="17">
        <v>101484429652</v>
      </c>
      <c r="B9" s="17">
        <v>111610</v>
      </c>
      <c r="C9" s="4" t="s">
        <v>31</v>
      </c>
      <c r="D9" s="15" t="s">
        <v>25</v>
      </c>
      <c r="E9" s="16" t="s">
        <v>32</v>
      </c>
      <c r="F9" s="16">
        <v>8008699646</v>
      </c>
      <c r="G9" s="63" t="s">
        <v>142</v>
      </c>
      <c r="H9" s="16" t="s">
        <v>60</v>
      </c>
      <c r="I9" s="4">
        <v>31</v>
      </c>
      <c r="J9" s="4">
        <v>31</v>
      </c>
      <c r="K9" s="4">
        <v>0</v>
      </c>
      <c r="L9" s="4">
        <v>30800</v>
      </c>
      <c r="M9" s="4">
        <f t="shared" si="0"/>
        <v>30800</v>
      </c>
      <c r="N9" s="4">
        <f t="shared" si="1"/>
        <v>12320</v>
      </c>
      <c r="O9" s="4">
        <f t="shared" si="2"/>
        <v>10780</v>
      </c>
      <c r="P9" s="4">
        <v>3342</v>
      </c>
      <c r="Q9" s="4">
        <f>IF(M9&lt;=15000,0,(IF(AND(M9&gt;15000,M9&lt;=20000),150,200)))</f>
        <v>200</v>
      </c>
      <c r="R9" s="18">
        <f t="shared" si="3"/>
        <v>0</v>
      </c>
      <c r="S9" s="18">
        <f t="shared" ref="S9:S19" si="9">IF(L9&lt;=21000,M9*3.25%,0)</f>
        <v>0</v>
      </c>
      <c r="T9" s="18">
        <f t="shared" si="4"/>
        <v>1478.3999999999999</v>
      </c>
      <c r="U9" s="18">
        <f t="shared" si="5"/>
        <v>452.14399999999995</v>
      </c>
      <c r="V9" s="18">
        <f t="shared" si="7"/>
        <v>1026.2560000000001</v>
      </c>
      <c r="W9" s="18">
        <v>0</v>
      </c>
      <c r="X9" s="19">
        <f>M9-Q9-R9-S9-T9-U9-V9</f>
        <v>27643.199999999997</v>
      </c>
    </row>
    <row r="10" spans="1:24" x14ac:dyDescent="0.25">
      <c r="A10" s="17">
        <v>101995161638</v>
      </c>
      <c r="B10" s="17">
        <v>111612</v>
      </c>
      <c r="C10" s="4" t="s">
        <v>33</v>
      </c>
      <c r="D10" s="15" t="s">
        <v>25</v>
      </c>
      <c r="E10" s="16" t="s">
        <v>34</v>
      </c>
      <c r="F10" s="16">
        <v>9700352457</v>
      </c>
      <c r="G10" s="63" t="s">
        <v>146</v>
      </c>
      <c r="H10" s="16" t="s">
        <v>147</v>
      </c>
      <c r="I10" s="4">
        <v>31</v>
      </c>
      <c r="J10" s="4">
        <v>31</v>
      </c>
      <c r="K10" s="4">
        <v>0</v>
      </c>
      <c r="L10" s="4">
        <v>31900</v>
      </c>
      <c r="M10" s="4">
        <f t="shared" si="0"/>
        <v>31900</v>
      </c>
      <c r="N10" s="4">
        <f t="shared" si="1"/>
        <v>12760</v>
      </c>
      <c r="O10" s="4">
        <f t="shared" si="2"/>
        <v>11165</v>
      </c>
      <c r="P10" s="4">
        <v>3496</v>
      </c>
      <c r="Q10" s="4">
        <f t="shared" ref="Q10:Q12" si="10">IF(M10&lt;=15000,0,(IF(AND(M10&gt;15000,M10&lt;=20000),150,200)))</f>
        <v>200</v>
      </c>
      <c r="R10" s="18">
        <f t="shared" si="3"/>
        <v>0</v>
      </c>
      <c r="S10" s="18">
        <f t="shared" si="9"/>
        <v>0</v>
      </c>
      <c r="T10" s="18">
        <f t="shared" si="4"/>
        <v>1531.2</v>
      </c>
      <c r="U10" s="18">
        <f t="shared" si="5"/>
        <v>468.29199999999997</v>
      </c>
      <c r="V10" s="18">
        <f t="shared" si="7"/>
        <v>1062.9079999999999</v>
      </c>
      <c r="W10" s="18">
        <v>0</v>
      </c>
      <c r="X10" s="19">
        <f t="shared" ref="X10" si="11">M10-Q10-R10-S10-T10-U10-V10</f>
        <v>28637.599999999999</v>
      </c>
    </row>
    <row r="11" spans="1:24" x14ac:dyDescent="0.25">
      <c r="A11" s="17">
        <v>101995160807</v>
      </c>
      <c r="B11" s="17">
        <v>111608</v>
      </c>
      <c r="C11" s="4" t="s">
        <v>35</v>
      </c>
      <c r="D11" s="15" t="s">
        <v>25</v>
      </c>
      <c r="E11" s="20" t="s">
        <v>36</v>
      </c>
      <c r="F11" s="20">
        <v>9908140108</v>
      </c>
      <c r="G11" s="64" t="s">
        <v>134</v>
      </c>
      <c r="H11" s="20" t="s">
        <v>135</v>
      </c>
      <c r="I11" s="4">
        <v>31</v>
      </c>
      <c r="J11" s="4">
        <v>31</v>
      </c>
      <c r="K11" s="4">
        <v>0</v>
      </c>
      <c r="L11" s="4">
        <v>27500</v>
      </c>
      <c r="M11" s="4">
        <f t="shared" si="0"/>
        <v>27500</v>
      </c>
      <c r="N11" s="4">
        <f t="shared" si="1"/>
        <v>11000</v>
      </c>
      <c r="O11" s="4">
        <f t="shared" si="2"/>
        <v>9625</v>
      </c>
      <c r="P11" s="4">
        <v>3188</v>
      </c>
      <c r="Q11" s="4">
        <f t="shared" si="10"/>
        <v>200</v>
      </c>
      <c r="R11" s="18">
        <f t="shared" si="3"/>
        <v>0</v>
      </c>
      <c r="S11" s="18">
        <f t="shared" si="9"/>
        <v>0</v>
      </c>
      <c r="T11" s="18">
        <f t="shared" si="4"/>
        <v>1320</v>
      </c>
      <c r="U11" s="18">
        <f t="shared" si="5"/>
        <v>403.7</v>
      </c>
      <c r="V11" s="18">
        <f t="shared" si="7"/>
        <v>916.3</v>
      </c>
      <c r="W11" s="18">
        <v>0</v>
      </c>
      <c r="X11" s="21">
        <f>M11-Q11-R11-S11-T11-U11-V11</f>
        <v>24660</v>
      </c>
    </row>
    <row r="12" spans="1:24" x14ac:dyDescent="0.25">
      <c r="A12" s="17">
        <v>101455597347</v>
      </c>
      <c r="B12" s="17">
        <v>111621</v>
      </c>
      <c r="C12" s="4" t="s">
        <v>37</v>
      </c>
      <c r="D12" s="15" t="s">
        <v>38</v>
      </c>
      <c r="E12" s="16" t="s">
        <v>39</v>
      </c>
      <c r="F12" s="16">
        <v>8885726608</v>
      </c>
      <c r="G12" s="64" t="s">
        <v>136</v>
      </c>
      <c r="H12" s="16" t="s">
        <v>137</v>
      </c>
      <c r="I12" s="22">
        <v>31</v>
      </c>
      <c r="J12" s="22">
        <v>31</v>
      </c>
      <c r="K12" s="22">
        <v>0</v>
      </c>
      <c r="L12" s="22">
        <v>30000</v>
      </c>
      <c r="M12" s="4">
        <f>L12/I12*(J12-K12)</f>
        <v>30000</v>
      </c>
      <c r="N12" s="22">
        <f t="shared" si="1"/>
        <v>12000</v>
      </c>
      <c r="O12" s="22">
        <f t="shared" si="2"/>
        <v>10500</v>
      </c>
      <c r="P12" s="22">
        <f>L12-N12-O12</f>
        <v>7500</v>
      </c>
      <c r="Q12" s="4">
        <f t="shared" si="10"/>
        <v>200</v>
      </c>
      <c r="R12" s="18">
        <f t="shared" si="3"/>
        <v>0</v>
      </c>
      <c r="S12" s="18">
        <f t="shared" si="9"/>
        <v>0</v>
      </c>
      <c r="T12" s="18">
        <f t="shared" si="4"/>
        <v>1440</v>
      </c>
      <c r="U12" s="18">
        <f t="shared" si="5"/>
        <v>440.4</v>
      </c>
      <c r="V12" s="18">
        <f t="shared" si="7"/>
        <v>999.6</v>
      </c>
      <c r="W12" s="23"/>
      <c r="X12" s="21">
        <f>M12-Q12-R12-S12-T12-U12-V12</f>
        <v>26920</v>
      </c>
    </row>
    <row r="13" spans="1:24" x14ac:dyDescent="0.25">
      <c r="A13" s="17">
        <v>101304644381</v>
      </c>
      <c r="B13" s="17">
        <v>221009</v>
      </c>
      <c r="C13" s="4" t="s">
        <v>119</v>
      </c>
      <c r="D13" s="15" t="s">
        <v>25</v>
      </c>
      <c r="E13" s="16" t="s">
        <v>44</v>
      </c>
      <c r="F13" s="16">
        <v>9131056815</v>
      </c>
      <c r="G13" s="64" t="s">
        <v>86</v>
      </c>
      <c r="H13" s="16" t="s">
        <v>87</v>
      </c>
      <c r="I13" s="4">
        <v>31</v>
      </c>
      <c r="J13" s="4">
        <v>31</v>
      </c>
      <c r="K13" s="4">
        <v>0</v>
      </c>
      <c r="L13" s="4">
        <v>27300</v>
      </c>
      <c r="M13" s="4">
        <f>L13/I13*(J13-K13)</f>
        <v>27300</v>
      </c>
      <c r="N13" s="22">
        <f>L13*40%</f>
        <v>10920</v>
      </c>
      <c r="O13" s="4">
        <f>L13*35%</f>
        <v>9555</v>
      </c>
      <c r="P13" s="22">
        <f t="shared" ref="P13" si="12">L13-N13-O13</f>
        <v>6825</v>
      </c>
      <c r="Q13" s="4">
        <f>IF(M13&lt;=15000,0,(IF(AND(M13&gt;15000,M13&lt;=20000),150,200)))</f>
        <v>200</v>
      </c>
      <c r="R13" s="18">
        <f>IF(L13&lt;=21000,M13*0.75%,0)</f>
        <v>0</v>
      </c>
      <c r="S13" s="18">
        <f>IF(L13&lt;=21000,M13*3.25%,0)</f>
        <v>0</v>
      </c>
      <c r="T13" s="18">
        <f>IF(N13&lt;=21000,N13*12%,0)</f>
        <v>1310.3999999999999</v>
      </c>
      <c r="U13" s="18">
        <f>IF(N13&lt;=21000,N13*3.67%,0)</f>
        <v>400.76399999999995</v>
      </c>
      <c r="V13" s="18">
        <f>IF(N13&lt;=21000,N13*8.33%,0)</f>
        <v>909.63599999999997</v>
      </c>
      <c r="W13" s="18">
        <v>0</v>
      </c>
      <c r="X13" s="21">
        <f>M13-Q13-R13-S13-T13-U13-V13</f>
        <v>24479.200000000001</v>
      </c>
    </row>
    <row r="14" spans="1:24" x14ac:dyDescent="0.25">
      <c r="A14" s="17">
        <v>100317527039</v>
      </c>
      <c r="B14" s="17">
        <v>221010</v>
      </c>
      <c r="C14" s="4" t="s">
        <v>45</v>
      </c>
      <c r="D14" s="15" t="s">
        <v>46</v>
      </c>
      <c r="E14" s="16" t="s">
        <v>47</v>
      </c>
      <c r="F14" s="16">
        <v>9981411847</v>
      </c>
      <c r="G14" s="64" t="s">
        <v>88</v>
      </c>
      <c r="H14" s="16" t="s">
        <v>89</v>
      </c>
      <c r="I14" s="4">
        <v>31</v>
      </c>
      <c r="J14" s="4">
        <v>31</v>
      </c>
      <c r="K14" s="4">
        <v>0</v>
      </c>
      <c r="L14" s="4">
        <v>56160</v>
      </c>
      <c r="M14" s="4">
        <f t="shared" si="0"/>
        <v>56160</v>
      </c>
      <c r="N14" s="4">
        <f t="shared" si="1"/>
        <v>22464</v>
      </c>
      <c r="O14" s="4">
        <f t="shared" si="2"/>
        <v>19656</v>
      </c>
      <c r="P14" s="4">
        <v>5806</v>
      </c>
      <c r="Q14" s="4">
        <f t="shared" si="6"/>
        <v>200</v>
      </c>
      <c r="R14" s="18">
        <f t="shared" si="3"/>
        <v>0</v>
      </c>
      <c r="S14" s="18">
        <f t="shared" si="9"/>
        <v>0</v>
      </c>
      <c r="T14" s="18">
        <v>1800</v>
      </c>
      <c r="U14" s="18">
        <v>550</v>
      </c>
      <c r="V14" s="18">
        <v>1250</v>
      </c>
      <c r="W14" s="18">
        <v>0</v>
      </c>
      <c r="X14" s="21">
        <f t="shared" ref="X14" si="13">M14-Q14-R14-S14-T14-U14-V14</f>
        <v>52360</v>
      </c>
    </row>
    <row r="15" spans="1:24" x14ac:dyDescent="0.25">
      <c r="A15" s="17">
        <v>101503554514</v>
      </c>
      <c r="B15" s="17">
        <v>221013</v>
      </c>
      <c r="C15" s="4" t="s">
        <v>48</v>
      </c>
      <c r="D15" s="15" t="s">
        <v>46</v>
      </c>
      <c r="E15" s="16" t="s">
        <v>49</v>
      </c>
      <c r="F15" s="16">
        <v>9644101304</v>
      </c>
      <c r="G15" s="64" t="s">
        <v>102</v>
      </c>
      <c r="H15" s="16" t="s">
        <v>103</v>
      </c>
      <c r="I15" s="4">
        <v>31</v>
      </c>
      <c r="J15" s="4">
        <v>31</v>
      </c>
      <c r="K15" s="4">
        <v>0</v>
      </c>
      <c r="L15" s="4">
        <v>30800</v>
      </c>
      <c r="M15" s="4">
        <f t="shared" si="0"/>
        <v>30800</v>
      </c>
      <c r="N15" s="4">
        <f t="shared" si="1"/>
        <v>12320</v>
      </c>
      <c r="O15" s="4">
        <f t="shared" si="2"/>
        <v>10780</v>
      </c>
      <c r="P15" s="4">
        <v>3650</v>
      </c>
      <c r="Q15" s="4">
        <f t="shared" si="6"/>
        <v>200</v>
      </c>
      <c r="R15" s="18">
        <f t="shared" si="3"/>
        <v>0</v>
      </c>
      <c r="S15" s="18">
        <f t="shared" si="9"/>
        <v>0</v>
      </c>
      <c r="T15" s="18">
        <f t="shared" si="4"/>
        <v>1478.3999999999999</v>
      </c>
      <c r="U15" s="18">
        <f t="shared" si="5"/>
        <v>452.14399999999995</v>
      </c>
      <c r="V15" s="18">
        <f t="shared" si="7"/>
        <v>1026.2560000000001</v>
      </c>
      <c r="W15" s="18">
        <v>0</v>
      </c>
      <c r="X15" s="21">
        <f t="shared" si="8"/>
        <v>27643.199999999997</v>
      </c>
    </row>
    <row r="16" spans="1:24" x14ac:dyDescent="0.25">
      <c r="A16" s="17">
        <v>101195807696</v>
      </c>
      <c r="B16" s="17">
        <v>221011</v>
      </c>
      <c r="C16" s="4" t="s">
        <v>50</v>
      </c>
      <c r="D16" s="15" t="s">
        <v>51</v>
      </c>
      <c r="E16" s="16" t="s">
        <v>52</v>
      </c>
      <c r="F16" s="16">
        <v>9753757177</v>
      </c>
      <c r="G16" s="64" t="s">
        <v>126</v>
      </c>
      <c r="H16" s="16" t="s">
        <v>125</v>
      </c>
      <c r="I16" s="4">
        <v>31</v>
      </c>
      <c r="J16" s="4">
        <v>31</v>
      </c>
      <c r="K16" s="4">
        <v>0</v>
      </c>
      <c r="L16" s="4">
        <v>22000</v>
      </c>
      <c r="M16" s="4">
        <f>L16/I16*(J16-K16)</f>
        <v>22000</v>
      </c>
      <c r="N16" s="4">
        <f t="shared" si="1"/>
        <v>8800</v>
      </c>
      <c r="O16" s="4">
        <f t="shared" si="2"/>
        <v>7699.9999999999991</v>
      </c>
      <c r="P16" s="4">
        <v>2194</v>
      </c>
      <c r="Q16" s="4">
        <f t="shared" si="6"/>
        <v>200</v>
      </c>
      <c r="R16" s="18">
        <f t="shared" si="3"/>
        <v>0</v>
      </c>
      <c r="S16" s="18">
        <f t="shared" si="9"/>
        <v>0</v>
      </c>
      <c r="T16" s="18">
        <f t="shared" si="4"/>
        <v>1056</v>
      </c>
      <c r="U16" s="18">
        <f t="shared" si="5"/>
        <v>322.95999999999998</v>
      </c>
      <c r="V16" s="18">
        <f t="shared" si="7"/>
        <v>733.04</v>
      </c>
      <c r="W16" s="18">
        <v>0</v>
      </c>
      <c r="X16" s="21">
        <f t="shared" si="8"/>
        <v>19688</v>
      </c>
    </row>
    <row r="17" spans="1:24" x14ac:dyDescent="0.25">
      <c r="A17" s="17">
        <v>101995161617</v>
      </c>
      <c r="B17" s="17">
        <v>111630</v>
      </c>
      <c r="C17" s="4" t="s">
        <v>53</v>
      </c>
      <c r="D17" s="15" t="s">
        <v>54</v>
      </c>
      <c r="E17" s="20" t="s">
        <v>36</v>
      </c>
      <c r="F17" s="20">
        <v>9105942637</v>
      </c>
      <c r="G17" s="64" t="s">
        <v>121</v>
      </c>
      <c r="H17" s="43" t="s">
        <v>138</v>
      </c>
      <c r="I17" s="4">
        <v>31</v>
      </c>
      <c r="J17" s="4">
        <v>31</v>
      </c>
      <c r="K17" s="4">
        <v>0</v>
      </c>
      <c r="L17" s="4">
        <v>16400</v>
      </c>
      <c r="M17" s="4">
        <f>L17/I17*(J17-K17)</f>
        <v>16400</v>
      </c>
      <c r="N17" s="4">
        <f t="shared" si="1"/>
        <v>6560</v>
      </c>
      <c r="O17" s="4">
        <f t="shared" si="2"/>
        <v>5740</v>
      </c>
      <c r="P17" s="4">
        <v>1596</v>
      </c>
      <c r="Q17" s="4">
        <f t="shared" si="6"/>
        <v>150</v>
      </c>
      <c r="R17" s="18">
        <f t="shared" si="3"/>
        <v>123</v>
      </c>
      <c r="S17" s="18">
        <f t="shared" si="9"/>
        <v>533</v>
      </c>
      <c r="T17" s="18">
        <f t="shared" si="4"/>
        <v>787.19999999999993</v>
      </c>
      <c r="U17" s="18">
        <f t="shared" si="5"/>
        <v>240.75199999999998</v>
      </c>
      <c r="V17" s="18">
        <f t="shared" si="7"/>
        <v>546.44799999999998</v>
      </c>
      <c r="W17" s="18">
        <v>0</v>
      </c>
      <c r="X17" s="21">
        <f t="shared" si="8"/>
        <v>14019.599999999999</v>
      </c>
    </row>
    <row r="18" spans="1:24" x14ac:dyDescent="0.25">
      <c r="A18" s="17">
        <v>101995161640</v>
      </c>
      <c r="B18" s="17">
        <v>221004</v>
      </c>
      <c r="C18" s="4" t="s">
        <v>55</v>
      </c>
      <c r="D18" s="15" t="s">
        <v>54</v>
      </c>
      <c r="E18" s="20" t="s">
        <v>36</v>
      </c>
      <c r="F18" s="20">
        <v>9897635990</v>
      </c>
      <c r="G18" s="64" t="s">
        <v>120</v>
      </c>
      <c r="H18" s="20" t="s">
        <v>124</v>
      </c>
      <c r="I18" s="4">
        <v>31</v>
      </c>
      <c r="J18" s="4">
        <v>31</v>
      </c>
      <c r="K18" s="4">
        <v>0</v>
      </c>
      <c r="L18" s="4">
        <v>17940</v>
      </c>
      <c r="M18" s="4">
        <f t="shared" si="0"/>
        <v>17940</v>
      </c>
      <c r="N18" s="4">
        <f t="shared" si="1"/>
        <v>7176</v>
      </c>
      <c r="O18" s="4">
        <f t="shared" si="2"/>
        <v>6279</v>
      </c>
      <c r="P18" s="17">
        <v>1605.5999999999967</v>
      </c>
      <c r="Q18" s="4">
        <f t="shared" si="6"/>
        <v>150</v>
      </c>
      <c r="R18" s="18">
        <f t="shared" si="3"/>
        <v>134.54999999999998</v>
      </c>
      <c r="S18" s="18">
        <f t="shared" si="9"/>
        <v>583.05000000000007</v>
      </c>
      <c r="T18" s="18">
        <f t="shared" si="4"/>
        <v>861.12</v>
      </c>
      <c r="U18" s="18">
        <f t="shared" si="5"/>
        <v>263.35919999999999</v>
      </c>
      <c r="V18" s="18">
        <f t="shared" si="7"/>
        <v>597.76080000000002</v>
      </c>
      <c r="W18" s="18">
        <v>0</v>
      </c>
      <c r="X18" s="21">
        <f t="shared" si="8"/>
        <v>15350.16</v>
      </c>
    </row>
    <row r="19" spans="1:24" x14ac:dyDescent="0.25">
      <c r="A19" s="17">
        <v>101995161655</v>
      </c>
      <c r="B19" s="17">
        <v>331001</v>
      </c>
      <c r="C19" s="4" t="s">
        <v>56</v>
      </c>
      <c r="D19" s="15" t="s">
        <v>57</v>
      </c>
      <c r="E19" s="16" t="s">
        <v>58</v>
      </c>
      <c r="F19" s="16">
        <v>9889024859</v>
      </c>
      <c r="G19" s="64" t="s">
        <v>122</v>
      </c>
      <c r="H19" s="16" t="s">
        <v>123</v>
      </c>
      <c r="I19" s="4">
        <v>31</v>
      </c>
      <c r="J19" s="4">
        <v>31</v>
      </c>
      <c r="K19" s="4">
        <v>0</v>
      </c>
      <c r="L19" s="4">
        <v>16900</v>
      </c>
      <c r="M19" s="4">
        <f t="shared" si="0"/>
        <v>16900</v>
      </c>
      <c r="N19" s="4">
        <f t="shared" si="1"/>
        <v>6760</v>
      </c>
      <c r="O19" s="4">
        <f t="shared" si="2"/>
        <v>5915</v>
      </c>
      <c r="P19" s="4">
        <v>1596</v>
      </c>
      <c r="Q19" s="4">
        <f t="shared" si="6"/>
        <v>150</v>
      </c>
      <c r="R19" s="18">
        <f t="shared" si="3"/>
        <v>126.75</v>
      </c>
      <c r="S19" s="18">
        <f t="shared" si="9"/>
        <v>549.25</v>
      </c>
      <c r="T19" s="18">
        <f t="shared" si="4"/>
        <v>811.19999999999993</v>
      </c>
      <c r="U19" s="18">
        <f t="shared" si="5"/>
        <v>248.09199999999998</v>
      </c>
      <c r="V19" s="18">
        <f t="shared" si="7"/>
        <v>563.10799999999995</v>
      </c>
      <c r="W19" s="18">
        <v>0</v>
      </c>
      <c r="X19" s="21">
        <f t="shared" si="8"/>
        <v>14451.599999999999</v>
      </c>
    </row>
    <row r="20" spans="1:24" x14ac:dyDescent="0.25">
      <c r="A20" s="4"/>
      <c r="B20" s="4">
        <v>111611</v>
      </c>
      <c r="C20" s="4" t="s">
        <v>114</v>
      </c>
      <c r="D20" s="15" t="s">
        <v>54</v>
      </c>
      <c r="E20" s="16" t="s">
        <v>47</v>
      </c>
      <c r="F20" s="16">
        <v>9719144955</v>
      </c>
      <c r="G20" s="64" t="s">
        <v>113</v>
      </c>
      <c r="H20" s="16" t="s">
        <v>115</v>
      </c>
      <c r="I20" s="4">
        <v>31</v>
      </c>
      <c r="J20" s="4">
        <v>31</v>
      </c>
      <c r="K20" s="4">
        <v>0</v>
      </c>
      <c r="L20" s="4">
        <v>60000</v>
      </c>
      <c r="M20" s="4">
        <f t="shared" si="0"/>
        <v>60000</v>
      </c>
      <c r="N20" s="4">
        <f t="shared" si="1"/>
        <v>24000</v>
      </c>
      <c r="O20" s="4">
        <f t="shared" si="2"/>
        <v>21000</v>
      </c>
      <c r="P20" s="4">
        <v>13300.000000000007</v>
      </c>
      <c r="Q20" s="4">
        <f>IF(M20&lt;=15000,0,(IF(AND(M20&gt;15000,M20&lt;=20000),150,200)))</f>
        <v>200</v>
      </c>
      <c r="R20" s="18">
        <f>IF(L20&lt;=21000,M20*0.75%,0)</f>
        <v>0</v>
      </c>
      <c r="S20" s="18">
        <f>IF(L20&lt;=21000,M20*3.25%,0)</f>
        <v>0</v>
      </c>
      <c r="T20" s="18">
        <f>IF(N20&lt;=21000,N20*12%,0)</f>
        <v>0</v>
      </c>
      <c r="U20" s="18">
        <f>IF(N20&lt;=21000,N20*3.67%,0)</f>
        <v>0</v>
      </c>
      <c r="V20" s="18">
        <f t="shared" si="7"/>
        <v>0</v>
      </c>
      <c r="W20" s="18">
        <v>0</v>
      </c>
      <c r="X20" s="21">
        <f t="shared" si="8"/>
        <v>59800</v>
      </c>
    </row>
    <row r="21" spans="1:24" s="37" customFormat="1" x14ac:dyDescent="0.25">
      <c r="A21" s="32"/>
      <c r="B21" s="32"/>
      <c r="C21" s="33"/>
      <c r="D21" s="34"/>
      <c r="E21" s="35" t="s">
        <v>59</v>
      </c>
      <c r="F21" s="35"/>
      <c r="G21" s="35"/>
      <c r="H21" s="35"/>
      <c r="I21" s="32"/>
      <c r="J21" s="32"/>
      <c r="K21" s="32"/>
      <c r="L21" s="32">
        <f>SUM(L6:L20)</f>
        <v>618059</v>
      </c>
      <c r="M21" s="32">
        <f>SUM(M6:M20)</f>
        <v>618059</v>
      </c>
      <c r="N21" s="32">
        <f>SUM(N6:N20)</f>
        <v>247223.6</v>
      </c>
      <c r="O21" s="32">
        <f>SUM(O6:O20)</f>
        <v>216320.65</v>
      </c>
      <c r="P21" s="32">
        <f>SUM(P6:P20)</f>
        <v>101743.35</v>
      </c>
      <c r="Q21" s="32">
        <f>SUM(Q6:Q20)</f>
        <v>2650</v>
      </c>
      <c r="R21" s="32">
        <f>SUM(R6:R20)</f>
        <v>384.29999999999995</v>
      </c>
      <c r="S21" s="32">
        <f>SUM(S6:S20)</f>
        <v>1665.3000000000002</v>
      </c>
      <c r="T21" s="32">
        <f>SUM(T6:T20)</f>
        <v>16993.919999999998</v>
      </c>
      <c r="U21" s="32">
        <f>SUM(U6:U20)</f>
        <v>5196.3072000000002</v>
      </c>
      <c r="V21" s="32">
        <f>SUM(V6:V20)</f>
        <v>11797.612799999999</v>
      </c>
      <c r="W21" s="32">
        <f>SUM(W6:W20)</f>
        <v>0</v>
      </c>
      <c r="X21" s="36">
        <f>SUM(X6:X20)</f>
        <v>579371.55999999994</v>
      </c>
    </row>
    <row r="22" spans="1:24" x14ac:dyDescent="0.25">
      <c r="A22" s="38"/>
      <c r="B22" s="38"/>
      <c r="C22" s="39"/>
      <c r="D22" s="40"/>
      <c r="E22" s="41"/>
      <c r="F22" s="41"/>
      <c r="G22" s="41"/>
      <c r="H22" s="41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42"/>
    </row>
    <row r="23" spans="1:24" x14ac:dyDescent="0.25">
      <c r="A23" s="43" t="s">
        <v>60</v>
      </c>
      <c r="B23" s="43"/>
      <c r="T23" s="45" t="s">
        <v>61</v>
      </c>
      <c r="U23" s="45"/>
      <c r="V23" s="45"/>
      <c r="W23" s="45"/>
      <c r="X23" s="45"/>
    </row>
    <row r="24" spans="1:24" x14ac:dyDescent="0.25">
      <c r="A24" s="43"/>
      <c r="B24" s="43"/>
    </row>
    <row r="25" spans="1:24" x14ac:dyDescent="0.25">
      <c r="A25" s="43"/>
      <c r="B25" s="43"/>
    </row>
    <row r="26" spans="1:24" ht="15.75" x14ac:dyDescent="0.25">
      <c r="A26" s="43"/>
      <c r="B26" s="43"/>
      <c r="T26" s="46"/>
    </row>
    <row r="27" spans="1:24" ht="15.75" x14ac:dyDescent="0.25">
      <c r="A27" s="43"/>
      <c r="B27" s="43"/>
      <c r="T27" s="47"/>
    </row>
    <row r="28" spans="1:24" ht="15.75" x14ac:dyDescent="0.25">
      <c r="A28" s="43" t="s">
        <v>62</v>
      </c>
      <c r="B28" s="43"/>
      <c r="D28" s="48" t="s">
        <v>63</v>
      </c>
      <c r="E28" s="48"/>
      <c r="M28" t="s">
        <v>64</v>
      </c>
      <c r="T28" s="46"/>
      <c r="U28" s="45" t="s">
        <v>65</v>
      </c>
      <c r="V28" s="45"/>
      <c r="W28" s="44"/>
    </row>
    <row r="29" spans="1:24" ht="15.75" x14ac:dyDescent="0.25">
      <c r="A29" s="43"/>
      <c r="B29" s="43"/>
      <c r="T29" s="46"/>
      <c r="U29" s="44"/>
      <c r="V29" s="44"/>
      <c r="W29" s="44"/>
    </row>
    <row r="30" spans="1:24" ht="15.75" x14ac:dyDescent="0.25">
      <c r="A30" s="43"/>
      <c r="B30" s="43"/>
      <c r="T30" s="46"/>
      <c r="U30" s="44"/>
      <c r="V30" s="44"/>
      <c r="W30" s="44"/>
    </row>
    <row r="31" spans="1:24" ht="15.75" x14ac:dyDescent="0.25">
      <c r="A31" s="43"/>
      <c r="B31" s="43"/>
      <c r="T31" s="46"/>
      <c r="U31" s="44"/>
      <c r="V31" s="44"/>
      <c r="W31" s="44"/>
    </row>
    <row r="32" spans="1:24" ht="15.75" x14ac:dyDescent="0.25">
      <c r="A32" s="43"/>
      <c r="B32" s="43"/>
      <c r="T32" s="46"/>
      <c r="U32" s="44"/>
      <c r="V32" s="44"/>
      <c r="W32" s="44"/>
    </row>
    <row r="33" spans="1:24" ht="23.25" x14ac:dyDescent="0.35">
      <c r="A33" s="1" t="s">
        <v>0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5.75" x14ac:dyDescent="0.25">
      <c r="A34" s="2" t="s">
        <v>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x14ac:dyDescent="0.25">
      <c r="A35" s="3" t="s">
        <v>2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45" x14ac:dyDescent="0.25">
      <c r="A36" s="10"/>
      <c r="B36" s="10"/>
      <c r="C36" s="10" t="s">
        <v>5</v>
      </c>
      <c r="D36" s="49" t="s">
        <v>6</v>
      </c>
      <c r="E36" s="50" t="s">
        <v>7</v>
      </c>
      <c r="F36" s="11" t="s">
        <v>83</v>
      </c>
      <c r="G36" s="11" t="s">
        <v>84</v>
      </c>
      <c r="H36" s="11" t="s">
        <v>85</v>
      </c>
      <c r="I36" s="10" t="s">
        <v>8</v>
      </c>
      <c r="J36" s="10" t="s">
        <v>9</v>
      </c>
      <c r="K36" s="10" t="s">
        <v>10</v>
      </c>
      <c r="L36" s="10" t="s">
        <v>11</v>
      </c>
      <c r="M36" s="10" t="s">
        <v>12</v>
      </c>
      <c r="N36" s="10" t="s">
        <v>13</v>
      </c>
      <c r="O36" s="10" t="s">
        <v>14</v>
      </c>
      <c r="P36" s="10" t="s">
        <v>15</v>
      </c>
      <c r="Q36" s="10"/>
      <c r="R36" s="10"/>
      <c r="S36" s="10"/>
      <c r="T36" s="10"/>
      <c r="U36" s="10"/>
      <c r="V36" s="10"/>
      <c r="W36" s="10"/>
      <c r="X36" s="12" t="s">
        <v>23</v>
      </c>
    </row>
    <row r="37" spans="1:24" x14ac:dyDescent="0.25">
      <c r="A37" s="4"/>
      <c r="B37" s="4"/>
      <c r="C37" s="14" t="s">
        <v>66</v>
      </c>
      <c r="D37" s="15" t="s">
        <v>25</v>
      </c>
      <c r="E37" s="16" t="s">
        <v>67</v>
      </c>
      <c r="F37" s="16"/>
      <c r="G37" s="16"/>
      <c r="H37" s="16"/>
      <c r="I37" s="4"/>
      <c r="J37" s="4"/>
      <c r="K37" s="4">
        <v>0</v>
      </c>
      <c r="L37" s="4">
        <v>9000</v>
      </c>
      <c r="M37" s="4">
        <v>9000</v>
      </c>
      <c r="N37" s="22">
        <f t="shared" ref="N37:N47" si="14">L37*40%</f>
        <v>3600</v>
      </c>
      <c r="O37" s="22">
        <f t="shared" ref="O37:O47" si="15">L37*35%</f>
        <v>3150</v>
      </c>
      <c r="P37" s="22">
        <f t="shared" ref="P37:P47" si="16">L37-N37-O37</f>
        <v>2250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/>
      <c r="W37" s="23"/>
      <c r="X37" s="21">
        <f t="shared" ref="X37:X42" si="17">N37+O37+P37</f>
        <v>9000</v>
      </c>
    </row>
    <row r="38" spans="1:24" x14ac:dyDescent="0.25">
      <c r="A38" s="4"/>
      <c r="B38" s="4">
        <v>111624</v>
      </c>
      <c r="C38" s="14" t="s">
        <v>162</v>
      </c>
      <c r="D38" s="15" t="s">
        <v>38</v>
      </c>
      <c r="E38" s="16" t="s">
        <v>68</v>
      </c>
      <c r="F38" s="16">
        <v>9640855645</v>
      </c>
      <c r="G38" s="63" t="s">
        <v>140</v>
      </c>
      <c r="H38" s="16" t="s">
        <v>60</v>
      </c>
      <c r="I38" s="4">
        <v>31</v>
      </c>
      <c r="J38" s="4">
        <v>31</v>
      </c>
      <c r="K38" s="4"/>
      <c r="L38" s="4">
        <v>17000</v>
      </c>
      <c r="M38" s="4">
        <v>17000</v>
      </c>
      <c r="N38" s="22">
        <f t="shared" si="14"/>
        <v>6800</v>
      </c>
      <c r="O38" s="22">
        <f t="shared" si="15"/>
        <v>5950</v>
      </c>
      <c r="P38" s="22">
        <f t="shared" si="16"/>
        <v>4250</v>
      </c>
      <c r="Q38" s="23"/>
      <c r="R38" s="23"/>
      <c r="S38" s="23"/>
      <c r="T38" s="23"/>
      <c r="U38" s="23"/>
      <c r="V38" s="23"/>
      <c r="W38" s="23"/>
      <c r="X38" s="21">
        <f t="shared" si="17"/>
        <v>17000</v>
      </c>
    </row>
    <row r="39" spans="1:24" x14ac:dyDescent="0.25">
      <c r="A39" s="51">
        <v>45491</v>
      </c>
      <c r="B39" s="4">
        <v>111623</v>
      </c>
      <c r="C39" s="4" t="s">
        <v>157</v>
      </c>
      <c r="D39" s="15" t="s">
        <v>38</v>
      </c>
      <c r="E39" s="16" t="s">
        <v>163</v>
      </c>
      <c r="F39" s="16">
        <v>63032361969</v>
      </c>
      <c r="G39" s="63" t="s">
        <v>143</v>
      </c>
      <c r="H39" s="16" t="s">
        <v>60</v>
      </c>
      <c r="I39" s="4">
        <v>31</v>
      </c>
      <c r="J39" s="4">
        <v>31</v>
      </c>
      <c r="K39" s="4"/>
      <c r="L39" s="4">
        <v>15000</v>
      </c>
      <c r="M39" s="4">
        <v>15000</v>
      </c>
      <c r="N39" s="4">
        <f>L39*40%</f>
        <v>6000</v>
      </c>
      <c r="O39" s="4">
        <f>L39*35%</f>
        <v>5250</v>
      </c>
      <c r="P39" s="22">
        <f>L39-N39-O39</f>
        <v>3750</v>
      </c>
      <c r="Q39" s="4"/>
      <c r="R39" s="18"/>
      <c r="S39" s="18"/>
      <c r="T39" s="18"/>
      <c r="U39" s="18"/>
      <c r="V39" s="18"/>
      <c r="W39" s="18"/>
      <c r="X39" s="21">
        <f>N39+O39+P39</f>
        <v>15000</v>
      </c>
    </row>
    <row r="40" spans="1:24" s="67" customFormat="1" ht="25.5" x14ac:dyDescent="0.25">
      <c r="A40" s="24">
        <v>101572550247</v>
      </c>
      <c r="B40" s="24">
        <v>111625</v>
      </c>
      <c r="C40" s="25" t="s">
        <v>40</v>
      </c>
      <c r="D40" s="26" t="s">
        <v>25</v>
      </c>
      <c r="E40" s="65" t="s">
        <v>41</v>
      </c>
      <c r="F40" s="65">
        <v>9908036812</v>
      </c>
      <c r="G40" s="66" t="s">
        <v>148</v>
      </c>
      <c r="H40" s="65" t="s">
        <v>149</v>
      </c>
      <c r="I40" s="27">
        <v>31</v>
      </c>
      <c r="J40" s="27">
        <v>31</v>
      </c>
      <c r="K40" s="27"/>
      <c r="L40" s="25">
        <v>31000</v>
      </c>
      <c r="M40" s="27">
        <v>31000</v>
      </c>
      <c r="N40" s="28">
        <f>L40*40%</f>
        <v>12400</v>
      </c>
      <c r="O40" s="28">
        <f>L40*35%</f>
        <v>10850</v>
      </c>
      <c r="P40" s="28">
        <f>L40-N40-O40</f>
        <v>7750</v>
      </c>
      <c r="Q40" s="27"/>
      <c r="R40" s="27"/>
      <c r="S40" s="27"/>
      <c r="T40" s="29"/>
      <c r="U40" s="29"/>
      <c r="V40" s="29"/>
      <c r="W40" s="27"/>
      <c r="X40" s="30">
        <f t="shared" ref="X40:X41" si="18">M40-Q40-R40-S40-T40-U40-V40</f>
        <v>31000</v>
      </c>
    </row>
    <row r="41" spans="1:24" x14ac:dyDescent="0.25">
      <c r="A41" s="17">
        <v>100133943936</v>
      </c>
      <c r="B41" s="17">
        <v>111626</v>
      </c>
      <c r="C41" s="31" t="s">
        <v>42</v>
      </c>
      <c r="D41" s="15" t="s">
        <v>25</v>
      </c>
      <c r="E41" s="16" t="s">
        <v>43</v>
      </c>
      <c r="F41" s="16">
        <v>9959731825</v>
      </c>
      <c r="G41" s="63" t="s">
        <v>150</v>
      </c>
      <c r="H41" s="16" t="s">
        <v>149</v>
      </c>
      <c r="I41" s="4">
        <v>31</v>
      </c>
      <c r="J41" s="4">
        <v>31</v>
      </c>
      <c r="K41" s="4"/>
      <c r="L41" s="31">
        <v>24000</v>
      </c>
      <c r="M41" s="4">
        <v>24000</v>
      </c>
      <c r="N41" s="22">
        <f>L41*40%</f>
        <v>9600</v>
      </c>
      <c r="O41" s="22">
        <f>L41*35%</f>
        <v>8400</v>
      </c>
      <c r="P41" s="22">
        <f>L41-N41-O41</f>
        <v>6000</v>
      </c>
      <c r="Q41" s="4"/>
      <c r="R41" s="4"/>
      <c r="S41" s="4"/>
      <c r="T41" s="18"/>
      <c r="U41" s="18"/>
      <c r="V41" s="18"/>
      <c r="W41" s="4"/>
      <c r="X41" s="21">
        <f t="shared" si="18"/>
        <v>24000</v>
      </c>
    </row>
    <row r="42" spans="1:24" x14ac:dyDescent="0.25">
      <c r="A42" s="4"/>
      <c r="B42" s="4">
        <v>111633</v>
      </c>
      <c r="C42" s="14" t="s">
        <v>69</v>
      </c>
      <c r="D42" s="15" t="s">
        <v>38</v>
      </c>
      <c r="E42" s="16" t="s">
        <v>70</v>
      </c>
      <c r="F42" s="16">
        <v>6302587459</v>
      </c>
      <c r="G42" s="63" t="s">
        <v>151</v>
      </c>
      <c r="H42" s="16" t="s">
        <v>152</v>
      </c>
      <c r="I42" s="4">
        <v>31</v>
      </c>
      <c r="J42" s="4">
        <v>31</v>
      </c>
      <c r="K42" s="4"/>
      <c r="L42" s="4">
        <v>15000</v>
      </c>
      <c r="M42" s="4">
        <v>15000</v>
      </c>
      <c r="N42" s="22">
        <f t="shared" si="14"/>
        <v>6000</v>
      </c>
      <c r="O42" s="22">
        <f t="shared" si="15"/>
        <v>5250</v>
      </c>
      <c r="P42" s="22">
        <f t="shared" si="16"/>
        <v>3750</v>
      </c>
      <c r="Q42" s="23"/>
      <c r="R42" s="23"/>
      <c r="S42" s="23"/>
      <c r="T42" s="23"/>
      <c r="U42" s="23"/>
      <c r="V42" s="23"/>
      <c r="W42" s="23"/>
      <c r="X42" s="21">
        <f t="shared" si="17"/>
        <v>15000</v>
      </c>
    </row>
    <row r="43" spans="1:24" x14ac:dyDescent="0.25">
      <c r="A43" s="51">
        <v>45687</v>
      </c>
      <c r="B43" s="17">
        <v>111627</v>
      </c>
      <c r="C43" s="31" t="s">
        <v>161</v>
      </c>
      <c r="D43" s="15" t="s">
        <v>38</v>
      </c>
      <c r="E43" s="16" t="s">
        <v>43</v>
      </c>
      <c r="F43" s="16">
        <v>9908008836</v>
      </c>
      <c r="G43" s="63" t="s">
        <v>141</v>
      </c>
      <c r="H43" s="16" t="s">
        <v>60</v>
      </c>
      <c r="I43" s="4">
        <v>31</v>
      </c>
      <c r="J43" s="4">
        <v>31</v>
      </c>
      <c r="K43" s="4">
        <v>0</v>
      </c>
      <c r="L43" s="31">
        <v>15000</v>
      </c>
      <c r="M43" s="4">
        <v>15000</v>
      </c>
      <c r="N43" s="22">
        <f t="shared" si="14"/>
        <v>6000</v>
      </c>
      <c r="O43" s="22">
        <f t="shared" si="15"/>
        <v>5250</v>
      </c>
      <c r="P43" s="22">
        <f t="shared" si="16"/>
        <v>3750</v>
      </c>
      <c r="Q43" s="4"/>
      <c r="R43" s="4"/>
      <c r="S43" s="4"/>
      <c r="T43" s="4"/>
      <c r="U43" s="4"/>
      <c r="V43" s="4"/>
      <c r="W43" s="4"/>
      <c r="X43" s="21">
        <v>15000</v>
      </c>
    </row>
    <row r="44" spans="1:24" x14ac:dyDescent="0.25">
      <c r="A44" s="4"/>
      <c r="B44" s="4">
        <v>221014</v>
      </c>
      <c r="C44" s="52" t="s">
        <v>96</v>
      </c>
      <c r="D44" s="53" t="s">
        <v>71</v>
      </c>
      <c r="E44" s="54" t="s">
        <v>72</v>
      </c>
      <c r="F44" s="54">
        <v>6265149504</v>
      </c>
      <c r="G44" s="54" t="s">
        <v>97</v>
      </c>
      <c r="H44" s="54" t="s">
        <v>98</v>
      </c>
      <c r="I44" s="4">
        <v>31</v>
      </c>
      <c r="J44" s="4">
        <v>31</v>
      </c>
      <c r="K44" s="22">
        <v>0</v>
      </c>
      <c r="L44" s="22">
        <v>16000</v>
      </c>
      <c r="M44" s="22">
        <v>14500</v>
      </c>
      <c r="N44" s="22">
        <f t="shared" si="14"/>
        <v>6400</v>
      </c>
      <c r="O44" s="22">
        <f t="shared" si="15"/>
        <v>5600</v>
      </c>
      <c r="P44" s="22">
        <f t="shared" si="16"/>
        <v>4000</v>
      </c>
      <c r="Q44" s="55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/>
      <c r="X44" s="21">
        <f>N44+O44+P44</f>
        <v>16000</v>
      </c>
    </row>
    <row r="45" spans="1:24" x14ac:dyDescent="0.25">
      <c r="A45" s="4"/>
      <c r="B45" s="4">
        <v>221020</v>
      </c>
      <c r="C45" s="52" t="s">
        <v>100</v>
      </c>
      <c r="D45" s="53" t="s">
        <v>46</v>
      </c>
      <c r="E45" s="54" t="s">
        <v>73</v>
      </c>
      <c r="F45" s="54">
        <v>8090245256</v>
      </c>
      <c r="G45" s="54" t="s">
        <v>99</v>
      </c>
      <c r="H45" s="54" t="s">
        <v>101</v>
      </c>
      <c r="I45" s="4">
        <v>31</v>
      </c>
      <c r="J45" s="4">
        <v>31</v>
      </c>
      <c r="K45" s="4">
        <v>0</v>
      </c>
      <c r="L45" s="4">
        <v>18000</v>
      </c>
      <c r="M45" s="4">
        <v>18000</v>
      </c>
      <c r="N45" s="4">
        <f t="shared" si="14"/>
        <v>7200</v>
      </c>
      <c r="O45" s="4">
        <f t="shared" si="15"/>
        <v>6300</v>
      </c>
      <c r="P45" s="17">
        <f t="shared" si="16"/>
        <v>4500</v>
      </c>
      <c r="Q45" s="4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/>
      <c r="X45" s="21">
        <v>16839</v>
      </c>
    </row>
    <row r="46" spans="1:24" x14ac:dyDescent="0.25">
      <c r="A46" s="4"/>
      <c r="B46" s="4">
        <v>221025</v>
      </c>
      <c r="C46" s="52" t="s">
        <v>159</v>
      </c>
      <c r="D46" s="15" t="s">
        <v>46</v>
      </c>
      <c r="E46" s="54" t="s">
        <v>70</v>
      </c>
      <c r="F46" s="54">
        <v>9575235447</v>
      </c>
      <c r="G46" s="68" t="s">
        <v>158</v>
      </c>
      <c r="H46" s="54" t="s">
        <v>154</v>
      </c>
      <c r="I46" s="4">
        <v>31</v>
      </c>
      <c r="J46" s="4">
        <v>31</v>
      </c>
      <c r="K46" s="22">
        <v>0</v>
      </c>
      <c r="L46" s="22">
        <v>18000</v>
      </c>
      <c r="M46" s="22">
        <v>18000</v>
      </c>
      <c r="N46" s="22">
        <f t="shared" si="14"/>
        <v>7200</v>
      </c>
      <c r="O46" s="22">
        <f t="shared" si="15"/>
        <v>6300</v>
      </c>
      <c r="P46" s="22">
        <f t="shared" si="16"/>
        <v>4500</v>
      </c>
      <c r="Q46" s="55">
        <v>0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/>
      <c r="X46" s="21">
        <f t="shared" ref="X46:X47" si="19">N46+O46+P46</f>
        <v>18000</v>
      </c>
    </row>
    <row r="47" spans="1:24" x14ac:dyDescent="0.25">
      <c r="A47" s="4"/>
      <c r="B47" s="4">
        <v>221021</v>
      </c>
      <c r="C47" s="31" t="s">
        <v>108</v>
      </c>
      <c r="D47" s="15" t="s">
        <v>46</v>
      </c>
      <c r="E47" s="16" t="s">
        <v>74</v>
      </c>
      <c r="F47" s="16">
        <v>8878096675</v>
      </c>
      <c r="G47" s="16" t="s">
        <v>109</v>
      </c>
      <c r="H47" s="16" t="s">
        <v>110</v>
      </c>
      <c r="I47" s="4">
        <v>31</v>
      </c>
      <c r="J47" s="4">
        <v>31</v>
      </c>
      <c r="K47" s="4"/>
      <c r="L47" s="31">
        <v>16000</v>
      </c>
      <c r="M47" s="31">
        <v>16000</v>
      </c>
      <c r="N47" s="31">
        <f t="shared" si="14"/>
        <v>6400</v>
      </c>
      <c r="O47" s="31">
        <f t="shared" si="15"/>
        <v>5600</v>
      </c>
      <c r="P47" s="22">
        <f t="shared" si="16"/>
        <v>4000</v>
      </c>
      <c r="Q47" s="4"/>
      <c r="R47" s="4"/>
      <c r="S47" s="4"/>
      <c r="T47" s="4"/>
      <c r="U47" s="4"/>
      <c r="V47" s="4"/>
      <c r="W47" s="4"/>
      <c r="X47" s="21">
        <f t="shared" si="19"/>
        <v>16000</v>
      </c>
    </row>
    <row r="48" spans="1:24" x14ac:dyDescent="0.25">
      <c r="A48" s="51">
        <v>45627</v>
      </c>
      <c r="B48" s="17">
        <v>221019</v>
      </c>
      <c r="C48" s="31" t="s">
        <v>82</v>
      </c>
      <c r="D48" s="15" t="s">
        <v>46</v>
      </c>
      <c r="E48" s="16" t="s">
        <v>74</v>
      </c>
      <c r="F48" s="16">
        <v>9826481067</v>
      </c>
      <c r="G48" s="16" t="s">
        <v>111</v>
      </c>
      <c r="H48" s="16" t="s">
        <v>112</v>
      </c>
      <c r="I48" s="4">
        <v>31</v>
      </c>
      <c r="J48" s="4">
        <v>31</v>
      </c>
      <c r="K48" s="4">
        <v>0</v>
      </c>
      <c r="L48" s="4">
        <v>18000</v>
      </c>
      <c r="M48" s="4">
        <v>18000</v>
      </c>
      <c r="N48" s="4">
        <f>L48*40%</f>
        <v>7200</v>
      </c>
      <c r="O48" s="4">
        <f>L48*35%</f>
        <v>6300</v>
      </c>
      <c r="P48" s="4">
        <f>L48-N48-O48</f>
        <v>4500</v>
      </c>
      <c r="Q48" s="4"/>
      <c r="R48" s="4"/>
      <c r="S48" s="4"/>
      <c r="T48" s="18"/>
      <c r="U48" s="18"/>
      <c r="V48" s="18"/>
      <c r="W48" s="18"/>
      <c r="X48" s="21">
        <f>18000-600</f>
        <v>17400</v>
      </c>
    </row>
    <row r="49" spans="1:25" x14ac:dyDescent="0.25">
      <c r="A49" s="51">
        <v>45820</v>
      </c>
      <c r="B49" s="17">
        <v>111629</v>
      </c>
      <c r="C49" s="31" t="s">
        <v>75</v>
      </c>
      <c r="D49" s="15" t="s">
        <v>76</v>
      </c>
      <c r="E49" s="16" t="s">
        <v>77</v>
      </c>
      <c r="F49" s="16">
        <v>8522077311</v>
      </c>
      <c r="G49" s="63" t="s">
        <v>153</v>
      </c>
      <c r="H49" s="16" t="s">
        <v>60</v>
      </c>
      <c r="I49" s="4">
        <v>31</v>
      </c>
      <c r="J49" s="4">
        <v>31</v>
      </c>
      <c r="K49" s="4"/>
      <c r="L49" s="31">
        <v>17000</v>
      </c>
      <c r="M49" s="31">
        <v>17000</v>
      </c>
      <c r="N49" s="31">
        <f>L49*40%</f>
        <v>6800</v>
      </c>
      <c r="O49" s="31">
        <f>L49*35%</f>
        <v>5950</v>
      </c>
      <c r="P49" s="22">
        <f>L49-N49-O49</f>
        <v>4250</v>
      </c>
      <c r="Q49" s="4"/>
      <c r="R49" s="4"/>
      <c r="S49" s="4"/>
      <c r="T49" s="4"/>
      <c r="U49" s="4"/>
      <c r="V49" s="4"/>
      <c r="W49" s="4"/>
      <c r="X49" s="21">
        <f>N49+O49+P49</f>
        <v>17000</v>
      </c>
    </row>
    <row r="50" spans="1:25" x14ac:dyDescent="0.25">
      <c r="A50" s="51">
        <v>45992</v>
      </c>
      <c r="B50" s="17">
        <v>111631</v>
      </c>
      <c r="C50" s="31" t="s">
        <v>78</v>
      </c>
      <c r="D50" s="15" t="s">
        <v>38</v>
      </c>
      <c r="E50" s="16" t="s">
        <v>72</v>
      </c>
      <c r="F50" s="16">
        <v>9705942135</v>
      </c>
      <c r="G50" s="64" t="s">
        <v>132</v>
      </c>
      <c r="H50" s="16" t="s">
        <v>133</v>
      </c>
      <c r="I50" s="4">
        <v>31</v>
      </c>
      <c r="J50" s="4">
        <v>31</v>
      </c>
      <c r="K50" s="4"/>
      <c r="L50" s="31">
        <v>22000</v>
      </c>
      <c r="M50" s="31">
        <v>22000</v>
      </c>
      <c r="N50" s="31">
        <f>L50*40%</f>
        <v>8800</v>
      </c>
      <c r="O50" s="31">
        <f>L50*35%</f>
        <v>7699.9999999999991</v>
      </c>
      <c r="P50" s="22">
        <f>L50-N50-O50</f>
        <v>5500.0000000000009</v>
      </c>
      <c r="Q50" s="4"/>
      <c r="R50" s="4"/>
      <c r="S50" s="4"/>
      <c r="T50" s="4"/>
      <c r="U50" s="4"/>
      <c r="V50" s="4"/>
      <c r="W50" s="4"/>
      <c r="X50" s="21">
        <f t="shared" ref="X50:X58" si="20">N50+O50+P50</f>
        <v>22000</v>
      </c>
    </row>
    <row r="51" spans="1:25" x14ac:dyDescent="0.25">
      <c r="A51" s="51"/>
      <c r="B51" s="17">
        <v>111632</v>
      </c>
      <c r="C51" s="31" t="s">
        <v>79</v>
      </c>
      <c r="D51" s="15" t="s">
        <v>38</v>
      </c>
      <c r="E51" s="16" t="s">
        <v>80</v>
      </c>
      <c r="F51" s="16">
        <v>9849581838</v>
      </c>
      <c r="G51" s="63" t="s">
        <v>139</v>
      </c>
      <c r="H51" s="16"/>
      <c r="I51" s="4">
        <v>31</v>
      </c>
      <c r="J51" s="4">
        <v>31</v>
      </c>
      <c r="K51" s="4"/>
      <c r="L51" s="31">
        <v>40000</v>
      </c>
      <c r="M51" s="31">
        <v>40000</v>
      </c>
      <c r="N51" s="31">
        <f>L51*40%</f>
        <v>16000</v>
      </c>
      <c r="O51" s="31">
        <f>L51*35%</f>
        <v>14000</v>
      </c>
      <c r="P51" s="22">
        <f>L51-N51-O51</f>
        <v>10000</v>
      </c>
      <c r="Q51" s="4"/>
      <c r="R51" s="4"/>
      <c r="S51" s="4"/>
      <c r="T51" s="4"/>
      <c r="U51" s="4"/>
      <c r="V51" s="4"/>
      <c r="W51" s="4"/>
      <c r="X51" s="21">
        <f>N51+O51+P51</f>
        <v>40000</v>
      </c>
    </row>
    <row r="52" spans="1:25" x14ac:dyDescent="0.25">
      <c r="A52" s="51"/>
      <c r="B52" s="17">
        <v>221015</v>
      </c>
      <c r="C52" s="31" t="s">
        <v>93</v>
      </c>
      <c r="D52" s="15" t="s">
        <v>46</v>
      </c>
      <c r="E52" s="16" t="s">
        <v>105</v>
      </c>
      <c r="F52" s="16">
        <v>9165744720</v>
      </c>
      <c r="G52" s="16" t="s">
        <v>94</v>
      </c>
      <c r="H52" s="16" t="s">
        <v>95</v>
      </c>
      <c r="I52" s="4">
        <v>31</v>
      </c>
      <c r="J52" s="4">
        <v>31</v>
      </c>
      <c r="K52" s="4"/>
      <c r="L52" s="31">
        <v>17500</v>
      </c>
      <c r="M52" s="31">
        <v>17500</v>
      </c>
      <c r="N52" s="31">
        <f>L52*40%</f>
        <v>7000</v>
      </c>
      <c r="O52" s="31">
        <f>L52*35%</f>
        <v>6125</v>
      </c>
      <c r="P52" s="22">
        <f>L52-N52-O52</f>
        <v>4375</v>
      </c>
      <c r="Q52" s="4"/>
      <c r="R52" s="4"/>
      <c r="S52" s="4"/>
      <c r="T52" s="4"/>
      <c r="U52" s="4"/>
      <c r="V52" s="4"/>
      <c r="W52" s="4"/>
      <c r="X52" s="21">
        <f>N52+O52+P52</f>
        <v>17500</v>
      </c>
    </row>
    <row r="53" spans="1:25" x14ac:dyDescent="0.25">
      <c r="A53" s="51"/>
      <c r="B53" s="17">
        <v>221023</v>
      </c>
      <c r="C53" s="31" t="s">
        <v>90</v>
      </c>
      <c r="D53" s="15" t="s">
        <v>46</v>
      </c>
      <c r="E53" s="16" t="s">
        <v>72</v>
      </c>
      <c r="F53" s="16">
        <v>9589466784</v>
      </c>
      <c r="G53" s="16" t="s">
        <v>91</v>
      </c>
      <c r="H53" s="16" t="s">
        <v>92</v>
      </c>
      <c r="I53" s="4">
        <v>31</v>
      </c>
      <c r="J53" s="4">
        <v>31</v>
      </c>
      <c r="K53" s="4"/>
      <c r="L53" s="31">
        <v>22000</v>
      </c>
      <c r="M53" s="31">
        <v>22000</v>
      </c>
      <c r="N53" s="31">
        <f t="shared" ref="N53:N57" si="21">L53*40%</f>
        <v>8800</v>
      </c>
      <c r="O53" s="31">
        <f t="shared" ref="O53:O57" si="22">L53*35%</f>
        <v>7699.9999999999991</v>
      </c>
      <c r="P53" s="22">
        <f t="shared" ref="P53:P57" si="23">L53-N53-O53</f>
        <v>5500.0000000000009</v>
      </c>
      <c r="Q53" s="4"/>
      <c r="R53" s="4"/>
      <c r="S53" s="4"/>
      <c r="T53" s="4"/>
      <c r="U53" s="4"/>
      <c r="V53" s="4"/>
      <c r="W53" s="4"/>
      <c r="X53" s="21">
        <f t="shared" si="20"/>
        <v>22000</v>
      </c>
    </row>
    <row r="54" spans="1:25" x14ac:dyDescent="0.25">
      <c r="A54" s="51"/>
      <c r="B54" s="17">
        <v>221024</v>
      </c>
      <c r="C54" s="31" t="s">
        <v>104</v>
      </c>
      <c r="D54" s="15" t="s">
        <v>46</v>
      </c>
      <c r="E54" s="16" t="s">
        <v>105</v>
      </c>
      <c r="F54" s="16">
        <v>6266974681</v>
      </c>
      <c r="G54" s="16" t="s">
        <v>106</v>
      </c>
      <c r="H54" s="16" t="s">
        <v>107</v>
      </c>
      <c r="I54" s="4">
        <v>31</v>
      </c>
      <c r="J54" s="4">
        <v>31</v>
      </c>
      <c r="K54" s="4"/>
      <c r="L54" s="31">
        <v>19000</v>
      </c>
      <c r="M54" s="31">
        <v>19000</v>
      </c>
      <c r="N54" s="31">
        <f t="shared" si="21"/>
        <v>7600</v>
      </c>
      <c r="O54" s="31">
        <f t="shared" si="22"/>
        <v>6650</v>
      </c>
      <c r="P54" s="22">
        <f t="shared" si="23"/>
        <v>4750</v>
      </c>
      <c r="Q54" s="4"/>
      <c r="R54" s="4"/>
      <c r="S54" s="4"/>
      <c r="T54" s="4"/>
      <c r="U54" s="4"/>
      <c r="V54" s="4"/>
      <c r="W54" s="4"/>
      <c r="X54" s="21">
        <f t="shared" si="20"/>
        <v>19000</v>
      </c>
    </row>
    <row r="55" spans="1:25" x14ac:dyDescent="0.25">
      <c r="A55" s="51"/>
      <c r="B55" s="17">
        <v>331002</v>
      </c>
      <c r="C55" s="31" t="s">
        <v>116</v>
      </c>
      <c r="D55" s="15" t="s">
        <v>57</v>
      </c>
      <c r="E55" s="16" t="s">
        <v>72</v>
      </c>
      <c r="F55" s="16">
        <v>8126553341</v>
      </c>
      <c r="G55" s="16" t="s">
        <v>117</v>
      </c>
      <c r="H55" s="16" t="s">
        <v>118</v>
      </c>
      <c r="I55" s="4">
        <v>31</v>
      </c>
      <c r="J55" s="4">
        <v>31</v>
      </c>
      <c r="K55" s="4"/>
      <c r="L55" s="31">
        <v>16000</v>
      </c>
      <c r="M55" s="31">
        <v>16000</v>
      </c>
      <c r="N55" s="31">
        <f t="shared" si="21"/>
        <v>6400</v>
      </c>
      <c r="O55" s="31">
        <f t="shared" si="22"/>
        <v>5600</v>
      </c>
      <c r="P55" s="22">
        <f t="shared" si="23"/>
        <v>4000</v>
      </c>
      <c r="Q55" s="4"/>
      <c r="R55" s="4"/>
      <c r="S55" s="4"/>
      <c r="T55" s="4"/>
      <c r="U55" s="4"/>
      <c r="V55" s="4"/>
      <c r="W55" s="4"/>
      <c r="X55" s="21">
        <f t="shared" si="20"/>
        <v>16000</v>
      </c>
    </row>
    <row r="56" spans="1:25" x14ac:dyDescent="0.25">
      <c r="A56" s="51"/>
      <c r="B56" s="17">
        <v>221022</v>
      </c>
      <c r="C56" s="31" t="s">
        <v>128</v>
      </c>
      <c r="D56" s="15" t="s">
        <v>129</v>
      </c>
      <c r="E56" s="16" t="s">
        <v>105</v>
      </c>
      <c r="F56" s="16">
        <v>8795843192</v>
      </c>
      <c r="G56" s="16" t="s">
        <v>130</v>
      </c>
      <c r="H56" s="16" t="s">
        <v>131</v>
      </c>
      <c r="I56" s="4">
        <v>31</v>
      </c>
      <c r="J56" s="4">
        <v>31</v>
      </c>
      <c r="K56" s="4"/>
      <c r="L56" s="31">
        <v>21200</v>
      </c>
      <c r="M56" s="31">
        <v>21200</v>
      </c>
      <c r="N56" s="31">
        <f t="shared" si="21"/>
        <v>8480</v>
      </c>
      <c r="O56" s="31">
        <f t="shared" si="22"/>
        <v>7419.9999999999991</v>
      </c>
      <c r="P56" s="22">
        <f t="shared" si="23"/>
        <v>5300.0000000000009</v>
      </c>
      <c r="Q56" s="4"/>
      <c r="R56" s="4"/>
      <c r="S56" s="4"/>
      <c r="T56" s="4"/>
      <c r="U56" s="4"/>
      <c r="V56" s="4"/>
      <c r="W56" s="4"/>
      <c r="X56" s="21">
        <f t="shared" si="20"/>
        <v>21200</v>
      </c>
    </row>
    <row r="57" spans="1:25" x14ac:dyDescent="0.25">
      <c r="A57" s="51">
        <v>46045</v>
      </c>
      <c r="B57" s="17">
        <v>221026</v>
      </c>
      <c r="C57" s="31" t="s">
        <v>160</v>
      </c>
      <c r="D57" s="15" t="s">
        <v>129</v>
      </c>
      <c r="E57" s="16" t="s">
        <v>105</v>
      </c>
      <c r="F57" s="16">
        <v>9340644510</v>
      </c>
      <c r="G57" s="63" t="s">
        <v>156</v>
      </c>
      <c r="H57" s="16" t="s">
        <v>155</v>
      </c>
      <c r="I57" s="4">
        <v>31</v>
      </c>
      <c r="J57" s="4">
        <v>31</v>
      </c>
      <c r="K57" s="4"/>
      <c r="L57" s="31">
        <v>18000</v>
      </c>
      <c r="M57" s="31">
        <v>18000</v>
      </c>
      <c r="N57" s="31">
        <f t="shared" si="21"/>
        <v>7200</v>
      </c>
      <c r="O57" s="31">
        <f t="shared" si="22"/>
        <v>6300</v>
      </c>
      <c r="P57" s="22">
        <f t="shared" si="23"/>
        <v>4500</v>
      </c>
      <c r="Q57" s="4"/>
      <c r="R57" s="4"/>
      <c r="S57" s="4"/>
      <c r="T57" s="4"/>
      <c r="U57" s="4"/>
      <c r="V57" s="4"/>
      <c r="W57" s="4"/>
      <c r="X57" s="21">
        <f t="shared" si="20"/>
        <v>18000</v>
      </c>
    </row>
    <row r="58" spans="1:25" x14ac:dyDescent="0.25">
      <c r="A58" s="51"/>
      <c r="B58" s="51"/>
      <c r="C58" s="31"/>
      <c r="D58" s="15"/>
      <c r="E58" s="16"/>
      <c r="F58" s="16"/>
      <c r="G58" s="16"/>
      <c r="H58" s="16"/>
      <c r="I58" s="4"/>
      <c r="J58" s="4"/>
      <c r="K58" s="4"/>
      <c r="L58" s="31"/>
      <c r="M58" s="31"/>
      <c r="N58" s="31"/>
      <c r="O58" s="31"/>
      <c r="P58" s="22"/>
      <c r="Q58" s="4"/>
      <c r="R58" s="4"/>
      <c r="S58" s="4"/>
      <c r="T58" s="4"/>
      <c r="U58" s="4"/>
      <c r="V58" s="4"/>
      <c r="W58" s="4"/>
      <c r="X58" s="21">
        <f t="shared" si="20"/>
        <v>0</v>
      </c>
    </row>
    <row r="59" spans="1:25" x14ac:dyDescent="0.25">
      <c r="A59" s="4"/>
      <c r="B59" s="4"/>
      <c r="C59" s="56" t="s">
        <v>81</v>
      </c>
      <c r="D59" s="56"/>
      <c r="E59" s="56"/>
      <c r="F59" s="6"/>
      <c r="G59" s="6"/>
      <c r="H59" s="6"/>
      <c r="I59" s="4"/>
      <c r="J59" s="4"/>
      <c r="K59" s="4"/>
      <c r="L59" s="57">
        <f>SUM(L37:L50)</f>
        <v>251000</v>
      </c>
      <c r="M59" s="57">
        <f>SUM(M37:M49)</f>
        <v>227500</v>
      </c>
      <c r="N59" s="57">
        <f>SUM(N37:N50)</f>
        <v>100400</v>
      </c>
      <c r="O59" s="57">
        <f>SUM(O37:O50)</f>
        <v>87850</v>
      </c>
      <c r="P59" s="57">
        <f>SUM(P37:P50)</f>
        <v>62750</v>
      </c>
      <c r="Q59" s="58">
        <f t="shared" ref="Q59:V59" si="24">SUM(Q6:Q20)</f>
        <v>2650</v>
      </c>
      <c r="R59" s="58">
        <f t="shared" si="24"/>
        <v>384.29999999999995</v>
      </c>
      <c r="S59" s="58">
        <f t="shared" si="24"/>
        <v>1665.3000000000002</v>
      </c>
      <c r="T59" s="58">
        <f t="shared" si="24"/>
        <v>16993.919999999998</v>
      </c>
      <c r="U59" s="58">
        <f t="shared" si="24"/>
        <v>5196.3072000000002</v>
      </c>
      <c r="V59" s="58">
        <f t="shared" si="24"/>
        <v>11797.612799999999</v>
      </c>
      <c r="W59" s="58"/>
      <c r="X59" s="21">
        <f>SUM(X37:Y58)</f>
        <v>402939</v>
      </c>
      <c r="Y59" s="59"/>
    </row>
    <row r="60" spans="1:25" x14ac:dyDescent="0.25">
      <c r="X60" s="60"/>
    </row>
    <row r="61" spans="1:25" x14ac:dyDescent="0.25">
      <c r="A61" s="43" t="s">
        <v>60</v>
      </c>
      <c r="B61" s="43"/>
      <c r="T61" s="45" t="s">
        <v>61</v>
      </c>
      <c r="U61" s="45"/>
      <c r="V61" s="45"/>
      <c r="W61" s="45"/>
      <c r="X61" s="45"/>
    </row>
    <row r="62" spans="1:25" x14ac:dyDescent="0.25">
      <c r="A62" s="43"/>
      <c r="B62" s="43"/>
    </row>
    <row r="63" spans="1:25" x14ac:dyDescent="0.25">
      <c r="A63" s="43"/>
      <c r="B63" s="43"/>
    </row>
    <row r="64" spans="1:25" ht="15.75" x14ac:dyDescent="0.25">
      <c r="A64" s="43"/>
      <c r="B64" s="43"/>
      <c r="T64" s="46"/>
    </row>
    <row r="65" spans="1:23" ht="15.75" x14ac:dyDescent="0.25">
      <c r="A65" s="43"/>
      <c r="B65" s="43"/>
      <c r="T65" s="47"/>
    </row>
    <row r="66" spans="1:23" ht="15.75" x14ac:dyDescent="0.25">
      <c r="A66" s="43" t="s">
        <v>62</v>
      </c>
      <c r="B66" s="43"/>
      <c r="D66" s="48" t="s">
        <v>63</v>
      </c>
      <c r="E66" s="48"/>
      <c r="G66" s="43">
        <v>7989508468</v>
      </c>
      <c r="H66" s="43" t="s">
        <v>144</v>
      </c>
      <c r="M66" t="s">
        <v>64</v>
      </c>
      <c r="T66" s="46"/>
      <c r="U66" s="45" t="s">
        <v>65</v>
      </c>
      <c r="V66" s="45"/>
      <c r="W66" s="44"/>
    </row>
    <row r="67" spans="1:23" ht="15.75" x14ac:dyDescent="0.25">
      <c r="T67" s="46"/>
      <c r="U67" s="45"/>
      <c r="V67" s="45"/>
      <c r="W67" s="44"/>
    </row>
    <row r="69" spans="1:23" ht="18.75" x14ac:dyDescent="0.3">
      <c r="V69" s="61"/>
      <c r="W69" s="62"/>
    </row>
  </sheetData>
  <mergeCells count="15">
    <mergeCell ref="U67:V67"/>
    <mergeCell ref="A33:X33"/>
    <mergeCell ref="A34:X34"/>
    <mergeCell ref="A35:X35"/>
    <mergeCell ref="C59:E59"/>
    <mergeCell ref="T61:X61"/>
    <mergeCell ref="D66:E66"/>
    <mergeCell ref="U66:V66"/>
    <mergeCell ref="A1:X1"/>
    <mergeCell ref="A2:X2"/>
    <mergeCell ref="A3:X3"/>
    <mergeCell ref="U4:V4"/>
    <mergeCell ref="T23:X23"/>
    <mergeCell ref="D28:E28"/>
    <mergeCell ref="U28:V28"/>
  </mergeCells>
  <hyperlinks>
    <hyperlink ref="G13" r:id="rId1"/>
    <hyperlink ref="G15" r:id="rId2"/>
    <hyperlink ref="G16" r:id="rId3"/>
    <hyperlink ref="G50" r:id="rId4"/>
    <hyperlink ref="G11" r:id="rId5"/>
    <hyperlink ref="G12" r:id="rId6"/>
    <hyperlink ref="G51" r:id="rId7"/>
    <hyperlink ref="G38" r:id="rId8"/>
    <hyperlink ref="G43" r:id="rId9"/>
    <hyperlink ref="G39" r:id="rId10"/>
    <hyperlink ref="G9" r:id="rId11"/>
    <hyperlink ref="G8" r:id="rId12"/>
    <hyperlink ref="G10" r:id="rId13"/>
    <hyperlink ref="G40" r:id="rId14"/>
    <hyperlink ref="G41" r:id="rId15"/>
    <hyperlink ref="G42" r:id="rId16"/>
    <hyperlink ref="G49" r:id="rId17"/>
    <hyperlink ref="G57" r:id="rId18"/>
    <hyperlink ref="G46" r:id="rId19"/>
  </hyperlinks>
  <pageMargins left="0.7" right="0.7" top="0.75" bottom="0.75" header="0.3" footer="0.3"/>
  <pageSetup orientation="portrait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</dc:creator>
  <cp:lastModifiedBy>Rishi</cp:lastModifiedBy>
  <dcterms:created xsi:type="dcterms:W3CDTF">2026-01-30T07:59:16Z</dcterms:created>
  <dcterms:modified xsi:type="dcterms:W3CDTF">2026-01-30T10:38:08Z</dcterms:modified>
</cp:coreProperties>
</file>